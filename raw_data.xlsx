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ject Sheet" sheetId="1" state="visible" r:id="rId3"/>
    <sheet name="Distribution Sheet" sheetId="2" state="visible" r:id="rId4"/>
  </sheets>
  <calcPr iterateCount="100" refMode="A1" iterate="false" iterateDelta="0.000999999999999945"/>
  <extLst>
    <ext xmlns:loext="http://schemas.libreoffice.org/" uri="{7626C862-2A13-11E5-B345-FEFF819CDC9F}">
      <loext:extCalcPr stringRefSyntax="ExcelA1"/>
    </ext>
  </extLst>
</workbook>
</file>

<file path=xl/sharedStrings.xml><?xml version="1.0" encoding="utf-8"?>
<sst xmlns="http://schemas.openxmlformats.org/spreadsheetml/2006/main" count="5239" uniqueCount="1637">
  <si>
    <t xml:space="preserve">Project Name</t>
  </si>
  <si>
    <t xml:space="preserve">Project ID</t>
  </si>
  <si>
    <t xml:space="preserve">Subproject Name</t>
  </si>
  <si>
    <t xml:space="preserve">Subproject ID</t>
  </si>
  <si>
    <t xml:space="preserve">Year Announced</t>
  </si>
  <si>
    <t xml:space="preserve">Effective Period</t>
  </si>
  <si>
    <t xml:space="preserve">Country / Region</t>
  </si>
  <si>
    <t xml:space="preserve">Type &amp; Status</t>
  </si>
  <si>
    <t xml:space="preserve">Numbers</t>
  </si>
  <si>
    <t xml:space="preserve">Targeted Firms or Parts of Value Chain</t>
  </si>
  <si>
    <t xml:space="preserve">Notes / Description</t>
  </si>
  <si>
    <t xml:space="preserve">Source</t>
  </si>
  <si>
    <t xml:space="preserve">In M's</t>
  </si>
  <si>
    <t xml:space="preserve">In USD</t>
  </si>
  <si>
    <t xml:space="preserve">Focus</t>
  </si>
  <si>
    <t xml:space="preserve">Main Type</t>
  </si>
  <si>
    <t xml:space="preserve">Chips &amp; Science Act (CHIPS Act)</t>
  </si>
  <si>
    <t xml:space="preserve">-</t>
  </si>
  <si>
    <t xml:space="preserve">2023-2027</t>
  </si>
  <si>
    <t xml:space="preserve">United States</t>
  </si>
  <si>
    <t xml:space="preserve">Subsidy; Loan; Tax Incentive</t>
  </si>
  <si>
    <t xml:space="preserve">$53B in distributions; 25% tax reduction</t>
  </si>
  <si>
    <t xml:space="preserve">Fabrication; APT; WFE; R&amp;D</t>
  </si>
  <si>
    <t xml:space="preserve">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</si>
  <si>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 xml:space="preserve">https://www.congress.gov/117/bills/hr4346/BILLS-117hr4346enr.pdf</t>
  </si>
  <si>
    <t xml:space="preserve">Fabrication</t>
  </si>
  <si>
    <t xml:space="preserve">Comprehensive Plan</t>
  </si>
  <si>
    <t xml:space="preserve">CHIPS Act Guardrails</t>
  </si>
  <si>
    <t xml:space="preserve">1</t>
  </si>
  <si>
    <t xml:space="preserve">Framework</t>
  </si>
  <si>
    <t xml:space="preserve">10 Years</t>
  </si>
  <si>
    <t xml:space="preserve">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</si>
  <si>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 xml:space="preserve">Section 301 Tariffs on Chinese Semiconductors</t>
  </si>
  <si>
    <t xml:space="preserve">2018-Indefinitely</t>
  </si>
  <si>
    <t xml:space="preserve">Tariff</t>
  </si>
  <si>
    <t xml:space="preserve">Materials; WFE</t>
  </si>
  <si>
    <t xml:space="preserve">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</si>
  <si>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 xml:space="preserve">https://www.govinfo.gov/content/pkg/FR-2024-09-18/pdf/2024-21217.pdf</t>
  </si>
  <si>
    <t xml:space="preserve">WFE</t>
  </si>
  <si>
    <t xml:space="preserve">Export Control Reform Act</t>
  </si>
  <si>
    <t xml:space="preserve">Export Control</t>
  </si>
  <si>
    <t xml:space="preserve">Design; WFE; Fabrication; Materials; Design</t>
  </si>
  <si>
    <t xml:space="preserve">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</si>
  <si>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 xml:space="preserve">https://www.congress.gov/115/bills/hr5040/BILLS-115hr5040ih.pdf</t>
  </si>
  <si>
    <t xml:space="preserve">Design</t>
  </si>
  <si>
    <t xml:space="preserve">Control</t>
  </si>
  <si>
    <t xml:space="preserve">FIRMMA</t>
  </si>
  <si>
    <t xml:space="preserve">2020-Indefinitely</t>
  </si>
  <si>
    <t xml:space="preserve">Foreign Investment Control</t>
  </si>
  <si>
    <t xml:space="preserve">Design; WFE; Fabrication; APT; R&amp;D</t>
  </si>
  <si>
    <t xml:space="preserve">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</si>
  <si>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 xml:space="preserve">https://home.treasury.gov/system/files/206/Final-FIRRMA-Regulations-FACT-SHEET.pdf</t>
  </si>
  <si>
    <t xml:space="preserve">Export Controls on Advanced Chips</t>
  </si>
  <si>
    <t xml:space="preserve">2022-Indefinitely</t>
  </si>
  <si>
    <t xml:space="preserve">Design; Logic; WFE; R&amp;D</t>
  </si>
  <si>
    <t xml:space="preserve">Adds advanced chips and tools to export control lists; Extends U.S. export rules to foreign-made tech and entities; Restricts Chinese fabs and U.S. persons from advanced chip work</t>
  </si>
  <si>
    <t xml:space="preserve">https://www.bis.doc.gov/index.php/documents/about-bis/newsroom/press-releases/3158-2022-10-07-bis-press-release-advanced-computing-and-semiconductor-manufacturing-controls-final/file</t>
  </si>
  <si>
    <t xml:space="preserve">New York "Green CHIPS" Program</t>
  </si>
  <si>
    <t xml:space="preserve">2022-2041</t>
  </si>
  <si>
    <t xml:space="preserve">Tax Incentive</t>
  </si>
  <si>
    <t xml:space="preserve">$20B</t>
  </si>
  <si>
    <t xml:space="preserve">Fabrication; R&amp;D; WFE</t>
  </si>
  <si>
    <t xml:space="preserve">5% investment tax credit; R&amp;D tax credit of 8% of expenditures; jobs tax credit of up to 7.5% of gross wages per new job; max $500m credits / year through 2041</t>
  </si>
  <si>
    <t xml:space="preserve">https://www.wolterskluwer.com/en/expert-insights/new-yorks-green-chips-incentives-for-semiconductor-manufacturing</t>
  </si>
  <si>
    <t xml:space="preserve">Texas CHIPS Act</t>
  </si>
  <si>
    <t xml:space="preserve">2023-2024</t>
  </si>
  <si>
    <t xml:space="preserve">Subsidy</t>
  </si>
  <si>
    <t xml:space="preserve">$1.6B</t>
  </si>
  <si>
    <t xml:space="preserve">Fabrication; R&amp;D</t>
  </si>
  <si>
    <t xml:space="preserve">$698M for a new semiconductor fund (TSIF); 660m in funding for R&amp;D at universities (UT  Austin &amp; Texas A&amp;M); plan focus is to make Texas a semiconductor manufacturing center; $250M added to TSIF in June 2025</t>
  </si>
  <si>
    <t xml:space="preserve">https://gov.texas.gov/uploads/files/business/Texas_CHIPS_Act_Snapshot.pdf</t>
  </si>
  <si>
    <t xml:space="preserve">Made in China 2025</t>
  </si>
  <si>
    <t xml:space="preserve">2015-2025</t>
  </si>
  <si>
    <t xml:space="preserve">China</t>
  </si>
  <si>
    <t xml:space="preserve">Strategic Plan</t>
  </si>
  <si>
    <t xml:space="preserve">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</si>
  <si>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 xml:space="preserve">https://cset.georgetown.edu/wp-content/uploads/t0432_made_in_china_2025_EN.pdf?</t>
  </si>
  <si>
    <t xml:space="preserve">National Integrated Circuit Industry Development Promotion Outline</t>
  </si>
  <si>
    <t xml:space="preserve">2014-2029</t>
  </si>
  <si>
    <t xml:space="preserve">Equity Investment</t>
  </si>
  <si>
    <t xml:space="preserve">Fabrication; WFE</t>
  </si>
  <si>
    <t xml:space="preserve">National state semiconductor investment fund plans and tax incentives</t>
  </si>
  <si>
    <t xml:space="preserve">Investment</t>
  </si>
  <si>
    <t xml:space="preserve">National IC Industry Investment Fund ("Big Fund I")</t>
  </si>
  <si>
    <t xml:space="preserve">2014-2018</t>
  </si>
  <si>
    <t xml:space="preserve">138.7b Yuan, ($19.4B USD)</t>
  </si>
  <si>
    <t xml:space="preserve">Fabrication; Design; APT</t>
  </si>
  <si>
    <t xml:space="preserve">National state semiconductor investment fund; funds to be allocated 60% to Foundry; other 40% Design; Packaging</t>
  </si>
  <si>
    <t xml:space="preserve">https://www.lawinfochina.com/display.aspx?id=26681&amp;lib=law</t>
  </si>
  <si>
    <t xml:space="preserve">National IC Industry Investment Fund ("Big Fund II")</t>
  </si>
  <si>
    <t xml:space="preserve">2</t>
  </si>
  <si>
    <t xml:space="preserve">2019-2024</t>
  </si>
  <si>
    <t xml:space="preserve">204.0b Yuan, ($28.6B USD)</t>
  </si>
  <si>
    <t xml:space="preserve">2nd National state semiconductor investment fund; 2nd fund to be more foucsed on fabrication with investments to be allocated 75% Foundry; other 25% Design &amp; Packaging</t>
  </si>
  <si>
    <t xml:space="preserve">https://m.bjnews.com.cn/detail/157201078715912.html?</t>
  </si>
  <si>
    <t xml:space="preserve">National IC Industry Investment Fund ("Big Fund III")</t>
  </si>
  <si>
    <t xml:space="preserve">3</t>
  </si>
  <si>
    <t xml:space="preserve">2024-2029</t>
  </si>
  <si>
    <t xml:space="preserve">344.0b Yuan ($48.2B USD)</t>
  </si>
  <si>
    <t xml:space="preserve">WFE; Materials; APT; Design</t>
  </si>
  <si>
    <t xml:space="preserve">3rd state semiconductor investment fund; focused mostly on areas where China is weak or constrained by foreign export controls; “chokepoint” technologies, including semiconductor equipment, core materials, and EDA software</t>
  </si>
  <si>
    <t xml:space="preserve">https://english.www.gov.cn/news/202405/29/content_WS66569746c6d0868f4e8e7987.html?</t>
  </si>
  <si>
    <t xml:space="preserve">"Several Policies to Promote the High-quality Development of the Integrated Circuit Industry and Software Industry in the New Era" (State Council Doc No.8)</t>
  </si>
  <si>
    <t xml:space="preserve">Tax Incentive; Loan</t>
  </si>
  <si>
    <t xml:space="preserve">Fabrication; Logic; Design; WFE; APT; R&amp;D</t>
  </si>
  <si>
    <t xml:space="preserve">≤28nm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</si>
  <si>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 xml:space="preserve">https://cset.georgetown.edu/wp-content/uploads/t0195_IC_software_policy_EN.pdf</t>
  </si>
  <si>
    <t xml:space="preserve">Comprehensive Package</t>
  </si>
  <si>
    <t xml:space="preserve">Export Restrictions on Critical Minerals</t>
  </si>
  <si>
    <t xml:space="preserve">2023-Indefinitely</t>
  </si>
  <si>
    <t xml:space="preserve">Materials</t>
  </si>
  <si>
    <t xml:space="preserve">Beginning July 2023, China required export permits for germanium and gallium; by Dec 2024 it fully banned U.S. shipments. As these are key inputs for substrates and compound semis, the controls target upstream leverage in response to foreign chip/tool restrictions</t>
  </si>
  <si>
    <t xml:space="preserve">https://www.winston.com/en/blogs-and-podcasts/global-trade-and-foreign-policy-insights/china-places-export-controls-on-raw-materials-used-in-semiconductor-manufacturing?</t>
  </si>
  <si>
    <t xml:space="preserve">Taiwanese Chip Act (Article 10-2 of the Statue for Industrial Inovation)</t>
  </si>
  <si>
    <t xml:space="preserve">2023-2029</t>
  </si>
  <si>
    <t xml:space="preserve">Taiwan</t>
  </si>
  <si>
    <t xml:space="preserve">R&amp;D; Fabrication; Design</t>
  </si>
  <si>
    <t xml:space="preserve">25% deduction for R&amp;D expenses; 5% reduction on CapEx for businesses with R&amp;D of at least NT$6B, R&amp;D density of at least 6%, expenditures of at least NT$10B for advanced equipment</t>
  </si>
  <si>
    <t xml:space="preserve">https://www.leeandli.com/EN/NewslettersDetail/7030.htm</t>
  </si>
  <si>
    <t xml:space="preserve">R&amp;D</t>
  </si>
  <si>
    <t xml:space="preserve">Taiwanese Chip-Based Industrial Innovation Program (TCIIP)</t>
  </si>
  <si>
    <t xml:space="preserve">2024-2033</t>
  </si>
  <si>
    <t xml:space="preserve">NT$300B ($9.8B USD)</t>
  </si>
  <si>
    <t xml:space="preserve">R&amp;D; Fabrication; Design; WFE; APT</t>
  </si>
  <si>
    <t xml:space="preserve">A NT$300B (~US$9–10B) initiative (2024–2033) to reinforce Taiwan’s edge by funding IC R&amp;D, talent attraction, and heterogeneous integration/advanced packaging. The program explicitly marries AI with IC development and aims to attract foreign startups and capital</t>
  </si>
  <si>
    <t xml:space="preserve">https://english.ey.gov.tw/Page/61BF20C3E89B856/746ecbac-25ad-47dd-9b93-274388d471b3</t>
  </si>
  <si>
    <t xml:space="preserve">Export Controls on Chip Materials (to S. Korea)</t>
  </si>
  <si>
    <t xml:space="preserve">2019-2023</t>
  </si>
  <si>
    <t xml:space="preserve">Japan</t>
  </si>
  <si>
    <t xml:space="preserve">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</si>
  <si>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 xml:space="preserve">https://cen.acs.org/policy/trade/Japan-hits-South-Korea-controls/97/i28#:~:text=The%20Japanese%20government%20has%20imposed%20export%20controls,of%20trust%20between%20Japan%20and%20South%20Korea.</t>
  </si>
  <si>
    <t xml:space="preserve">AI / Semiconductor Industrial Infrastructure Reinforcement Framework</t>
  </si>
  <si>
    <t xml:space="preserve">2024-2030</t>
  </si>
  <si>
    <t xml:space="preserve">Subsidy; Equity Investment</t>
  </si>
  <si>
    <t xml:space="preserve">¥10T ($65B USD) through 2030</t>
  </si>
  <si>
    <t xml:space="preserve">R&amp;D; Fabrication; WFE; Design; Data Center</t>
  </si>
  <si>
    <t xml:space="preserve">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</si>
  <si>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 xml:space="preserve">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</si>
  <si>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 xml:space="preserve">Strategy for Semiconductors and the Digital Industry</t>
  </si>
  <si>
    <t xml:space="preserve">2021-2030</t>
  </si>
  <si>
    <t xml:space="preserve">Tax Incentive; Subsidy</t>
  </si>
  <si>
    <t xml:space="preserve">Logic; APT; WFE; Fabrication</t>
  </si>
  <si>
    <t xml:space="preserve">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</si>
  <si>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 xml:space="preserve">https://www.jetro.go.jp/ext_images/invest/ijre/report2022/; https://web-assets.bcg.com/25/6e/7a123efd40199020ed1b4114be84/emerging-resilience-in-the-semiconductor-supply-chain-r.pdf</t>
  </si>
  <si>
    <t xml:space="preserve">5G Promotion Act</t>
  </si>
  <si>
    <t xml:space="preserve">¥2.7T ($17.1B USD)</t>
  </si>
  <si>
    <t xml:space="preserve">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 also subsidy program that is updated as of FY2023 (in total budget amount)</t>
  </si>
  <si>
    <t xml:space="preserve">Economic Security Promotion Act</t>
  </si>
  <si>
    <t xml:space="preserve">Loan; Tax Incentive; Subsidy</t>
  </si>
  <si>
    <t xml:space="preserve">¥2.5T (16.5B USD)</t>
  </si>
  <si>
    <t xml:space="preserve">Compound; WFE; Materials</t>
  </si>
  <si>
    <t xml:space="preserve">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</si>
  <si>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 xml:space="preserve">https://www.meti.go.jp/english/policy/0704_001.pdf</t>
  </si>
  <si>
    <t xml:space="preserve">Post 5G R&amp;D Fund</t>
  </si>
  <si>
    <t xml:space="preserve">¥2.52T ($16.3B USD)</t>
  </si>
  <si>
    <t xml:space="preserve">R&amp;D; Design; Workforce Development</t>
  </si>
  <si>
    <t xml:space="preserve">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</si>
  <si>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 xml:space="preserve">https://www.meti.go.jp/english/policy/0704_001.pdf; https://www.meti.go.jp/policy/mono_info_service/joho/post5g/pdf/20250207003.pdf?\</t>
  </si>
  <si>
    <t xml:space="preserve">Export Controls on Chipmaking Equipment</t>
  </si>
  <si>
    <t xml:space="preserve">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</si>
  <si>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 xml:space="preserve">https://www.reuters.com/technology/japan-restrict-chipmaking-equipment-exports-aligning-it-with-us-china-curbs-2023-03-31/</t>
  </si>
  <si>
    <t xml:space="preserve">System Semiconductor Vision (Non-memory initiative)</t>
  </si>
  <si>
    <t xml:space="preserve">2019-2030</t>
  </si>
  <si>
    <t xml:space="preserve">South Korea</t>
  </si>
  <si>
    <t xml:space="preserve">₩1.1T  ($745M USD)</t>
  </si>
  <si>
    <t xml:space="preserve">Fabrication; Design; Workforce Development; Logic</t>
  </si>
  <si>
    <t xml:space="preserve">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</si>
  <si>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 xml:space="preserve">https://www.businesskorea.co.kr/news/articleView.html?idxno=48289;https://koreajoongangdaily.joins.com/2019/04/30/economy/Government-launches-plan-to-make-Korea-a-semiconductor-leader-by-2030/3062504.html</t>
  </si>
  <si>
    <t xml:space="preserve">K-Semiconductor Strategy ("Chip Belt" Plan)</t>
  </si>
  <si>
    <t xml:space="preserve">Equity Investment; Framework; Tax Incentive</t>
  </si>
  <si>
    <t xml:space="preserve">₩1T ($677M USD); 40-50% R&amp;D and Investment Tax Credit</t>
  </si>
  <si>
    <t xml:space="preserve">WFE; Materials; APT; Fabrication</t>
  </si>
  <si>
    <t xml:space="preserve">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 40-50% R&amp;D tax credit; 1T won fund</t>
  </si>
  <si>
    <t xml:space="preserve">https://world.kbs.co.kr/service/contents_view.htm?board_seq=403357</t>
  </si>
  <si>
    <t xml:space="preserve">K-Chips Act</t>
  </si>
  <si>
    <t xml:space="preserve">2023-2025</t>
  </si>
  <si>
    <t xml:space="preserve">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</si>
  <si>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 xml:space="preserve">https://www.kimchang.com/en/insights/detail.kc?sch_section=4&amp;idx=27331</t>
  </si>
  <si>
    <t xml:space="preserve">K-Chips Act (Tax Cut Extension)</t>
  </si>
  <si>
    <t xml:space="preserve">2025-2031</t>
  </si>
  <si>
    <t xml:space="preserve">Increased tax credit rate for facility investments by semiconductor companies by 5% more than original K-Chips act; establishes and extends R&amp;D tax credit program until 2031</t>
  </si>
  <si>
    <t xml:space="preserve">https://www.businesskorea.co.kr/news/articleView.html?idxno=236425</t>
  </si>
  <si>
    <t xml:space="preserve">South Korea Push for Defence Semiconductor Self Sufficiency</t>
  </si>
  <si>
    <t xml:space="preserve">Establishes DAPA Office for Defense Semiconductors; create a high-tech semiconductor army by 2030; plan on allowing DAPA to allow direct funding, tax beenfits, and IP Support</t>
  </si>
  <si>
    <t xml:space="preserve">https://www.foi.se/rest-api/report/FOI%20Memo%208937</t>
  </si>
  <si>
    <t xml:space="preserve">Semiconductor National Support Program</t>
  </si>
  <si>
    <t xml:space="preserve">Subsidy; Loan</t>
  </si>
  <si>
    <t xml:space="preserve">₩26T ($19B USD)</t>
  </si>
  <si>
    <t xml:space="preserve">R&amp;D; Logic; Fabrication</t>
  </si>
  <si>
    <t xml:space="preserve">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</si>
  <si>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 xml:space="preserve">https://www.koreaherald.com/article/3400568#:~:text=May%2023%2C%202024%20%2D%2015:,held%20at%20the%20presidential%20office.</t>
  </si>
  <si>
    <t xml:space="preserve">European Chips Act</t>
  </si>
  <si>
    <t xml:space="preserve">2023-2030</t>
  </si>
  <si>
    <t xml:space="preserve">European Union</t>
  </si>
  <si>
    <t xml:space="preserve">Subsidy; Equity Investment; Loan</t>
  </si>
  <si>
    <t xml:space="preserve">€43B</t>
  </si>
  <si>
    <t xml:space="preserve">Logic; Fabrication; WFE; R&amp;D</t>
  </si>
  <si>
    <t xml:space="preserve">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</si>
  <si>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 xml:space="preserve">https://eur-lex.europa.eu/legal-content/EN/TXT/PDF/?uri=CELEX:32023R1781</t>
  </si>
  <si>
    <t xml:space="preserve">Important Projects of Common European Interest (IPCEI) on Microelectronics (First IPCEI)</t>
  </si>
  <si>
    <t xml:space="preserve">€1.9B</t>
  </si>
  <si>
    <t xml:space="preserve">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</si>
  <si>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 xml:space="preserve">https://www.epc.eu/publication/Making-IPCEIs-a-new-vanguard-for-EU-industrial-policy-650b30/#:~:text=For%20example%2C%20the%20IPCEI%20on%20Microelectronics%20provided,application%20of%20Extreme%20Ultraviolet%20(EUV)%20chip%20nano%2D</t>
  </si>
  <si>
    <t xml:space="preserve">Second IPCEI on Microelectronics</t>
  </si>
  <si>
    <t xml:space="preserve">2023-2032</t>
  </si>
  <si>
    <t xml:space="preserve">€8.1B</t>
  </si>
  <si>
    <t xml:space="preserve">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</si>
  <si>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 xml:space="preserve">https://competition-policy.ec.europa.eu/state-aid/ipcei/approved-ipceis/microelectronics-value-chain_en; https://www.eca.europa.eu/ECAPublications/SR-2025-12/SR-2025-12_EN.pdf?</t>
  </si>
  <si>
    <t xml:space="preserve">France - France 2030 Programme (Electronique)</t>
  </si>
  <si>
    <t xml:space="preserve">France</t>
  </si>
  <si>
    <t xml:space="preserve">€5-5.5B</t>
  </si>
  <si>
    <t xml:space="preserve">Fabrication; R&amp;D; Design</t>
  </si>
  <si>
    <t xml:space="preserve">"France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</si>
  <si>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 xml:space="preserve">https://www.info.gouv.fr/upload/media/organization/0001/01/sites_default_files_contenu_piece-jointe_2022_07_22_-_dossier_de_presse_-_electronique_2030.pdf</t>
  </si>
  <si>
    <t xml:space="preserve">Netherlands - ASML Export Controls</t>
  </si>
  <si>
    <t xml:space="preserve">Netherlands</t>
  </si>
  <si>
    <t xml:space="preserve">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</si>
  <si>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 xml:space="preserve">https://www.asml.com/en/news/press-releases/2023/statement-regarding-export-control-regulations-dutch-government</t>
  </si>
  <si>
    <t xml:space="preserve">France - Nano 2022</t>
  </si>
  <si>
    <t xml:space="preserve">2018-2022</t>
  </si>
  <si>
    <t xml:space="preserve">€1.1B</t>
  </si>
  <si>
    <t xml:space="preserve">R&amp;D; Fabrication; WFE</t>
  </si>
  <si>
    <t xml:space="preserve">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</si>
  <si>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 xml:space="preserve">https://www.entreprises.gouv.fr/files/files/Publications/2025/Th%C3%A9mas/20250404-thema-semiconducteur-version%20anglaise.pdf</t>
  </si>
  <si>
    <t xml:space="preserve">France - Nano 2017</t>
  </si>
  <si>
    <t xml:space="preserve">2013-2017</t>
  </si>
  <si>
    <t xml:space="preserve">€600M</t>
  </si>
  <si>
    <t xml:space="preserve">R&amp;D; Fabrication</t>
  </si>
  <si>
    <t xml:space="preserve">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</si>
  <si>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 xml:space="preserve">National Semiconductor Strategy</t>
  </si>
  <si>
    <t xml:space="preserve">2023-2033</t>
  </si>
  <si>
    <t xml:space="preserve">United Kingdom</t>
  </si>
  <si>
    <t xml:space="preserve">£1B</t>
  </si>
  <si>
    <t xml:space="preserve">Design; R&amp;D; Compound</t>
  </si>
  <si>
    <t xml:space="preserve">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</si>
  <si>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 xml:space="preserve">https://data.parliament.uk/DepositedPapers/Files/DEP2023-0443/CP_838_National_Semiconductor_Strategy.pdf</t>
  </si>
  <si>
    <t xml:space="preserve">RIE 2025</t>
  </si>
  <si>
    <t xml:space="preserve">2021-2025</t>
  </si>
  <si>
    <t xml:space="preserve">Singapore</t>
  </si>
  <si>
    <t xml:space="preserve">Subsidy; Tax Incentive</t>
  </si>
  <si>
    <t xml:space="preserve">S$10B+ ($7.72B)*</t>
  </si>
  <si>
    <t xml:space="preserve">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</si>
  <si>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 xml:space="preserve">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</si>
  <si>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 xml:space="preserve">RIE 2020</t>
  </si>
  <si>
    <t xml:space="preserve">2016-2020</t>
  </si>
  <si>
    <t xml:space="preserve">S$4B ($3.1B)</t>
  </si>
  <si>
    <t xml:space="preserve">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</si>
  <si>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 xml:space="preserve">https://grow.singlife.com/content/dam/singlife-elevate/insights/thematic-report/edition-06/thematic_report_edition_06_20250516.pdf</t>
  </si>
  <si>
    <t xml:space="preserve">Electronics Industry Transformation Map (ITM)</t>
  </si>
  <si>
    <t xml:space="preserve">2017-2020</t>
  </si>
  <si>
    <t xml:space="preserve">Fabrication; R&amp;D; Workforce Development</t>
  </si>
  <si>
    <t xml:space="preserve">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</si>
  <si>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 xml:space="preserve">https://www.mti.gov.sg/-/media/MTI/ITM/Manufacturing/Electronics/Electronics-ITM-Media-Release.pdf</t>
  </si>
  <si>
    <t xml:space="preserve">Expansion of Electronics Industry Transformation Map</t>
  </si>
  <si>
    <t xml:space="preserve">2022-2030</t>
  </si>
  <si>
    <t xml:space="preserve">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</si>
  <si>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 xml:space="preserve">https://www.mti.gov.sg/-/media/MTI/ITM/Manufacturing/Electronics/Electronics-ITM-2025.pdf</t>
  </si>
  <si>
    <t xml:space="preserve">Singapore Industry Scholarships (SgIS)</t>
  </si>
  <si>
    <t xml:space="preserve">2012-Indefinitely</t>
  </si>
  <si>
    <t xml:space="preserve">Workforce Development</t>
  </si>
  <si>
    <t xml:space="preserve">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</si>
  <si>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 xml:space="preserve">https://www.moe.gov.sg/sgis</t>
  </si>
  <si>
    <t xml:space="preserve">Industry Postgraduate Program</t>
  </si>
  <si>
    <t xml:space="preserve">2011-Indefinitely</t>
  </si>
  <si>
    <t xml:space="preserve">Workforce Development; R&amp;D</t>
  </si>
  <si>
    <t xml:space="preserve">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</si>
  <si>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 xml:space="preserve">https://www.ntu.edu.sg/graduate-college/admissions/programme/industrial-postgraduate-programme-(ipp)</t>
  </si>
  <si>
    <t xml:space="preserve">Budget 2024</t>
  </si>
  <si>
    <t xml:space="preserve">2025-Indefinitely</t>
  </si>
  <si>
    <t xml:space="preserve">S$1.5B; 50% tax support</t>
  </si>
  <si>
    <t xml:space="preserve">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</si>
  <si>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 xml:space="preserve">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</si>
  <si>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 xml:space="preserve">Budget 2023</t>
  </si>
  <si>
    <t xml:space="preserve">2024-2028</t>
  </si>
  <si>
    <t xml:space="preserve">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</si>
  <si>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 xml:space="preserve">https://www.iras.gov.sg/schemes/disbursement-schemes/enterprise-innovation-scheme-(eis)</t>
  </si>
  <si>
    <t xml:space="preserve">National Semiconductor Strategy (Malaysia)</t>
  </si>
  <si>
    <t xml:space="preserve">2024-2034</t>
  </si>
  <si>
    <t xml:space="preserve">Malaysia</t>
  </si>
  <si>
    <t xml:space="preserve">RM$25B ($5.2B)</t>
  </si>
  <si>
    <t xml:space="preserve">APT; WFE; Fabrication</t>
  </si>
  <si>
    <t xml:space="preserve">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</si>
  <si>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 xml:space="preserve">https://crest.my/wp-content/uploads/FINAL_NSS_141024_2_compressed.pdf?</t>
  </si>
  <si>
    <t xml:space="preserve">Advanced Packaging Programme and Technology Center</t>
  </si>
  <si>
    <t xml:space="preserve">2025-2035</t>
  </si>
  <si>
    <t xml:space="preserve">RM$0.8B ($166M)</t>
  </si>
  <si>
    <t xml:space="preserve">APT</t>
  </si>
  <si>
    <t xml:space="preserve">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</si>
  <si>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 xml:space="preserve">MYChipStart Programme</t>
  </si>
  <si>
    <t xml:space="preserve">2025-2029</t>
  </si>
  <si>
    <t xml:space="preserve">RM$1B</t>
  </si>
  <si>
    <t xml:space="preserve">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</si>
  <si>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 xml:space="preserve">Semiconductor Industrial Park</t>
  </si>
  <si>
    <t xml:space="preserve">RM$2B</t>
  </si>
  <si>
    <t xml:space="preserve">Fabrication; R&amp;D; Talent Development</t>
  </si>
  <si>
    <t xml:space="preserve">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</si>
  <si>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 xml:space="preserve">Government Support for Institutions that Support the Semiconductor Industry</t>
  </si>
  <si>
    <t xml:space="preserve">4</t>
  </si>
  <si>
    <t xml:space="preserve">2025-2034</t>
  </si>
  <si>
    <t xml:space="preserve">RM$0.3B</t>
  </si>
  <si>
    <t xml:space="preserve">Support for the largest semiconductor institutions operations such as MIMOS (Malaysian Institute of Microelectronic Systems) and CREST (Malaysian Institute of Microelectronic Systems)</t>
  </si>
  <si>
    <t xml:space="preserve">chttps://crest.my/wp-content/uploads/FINAL_NSS_141024_2_compressed.pdf?</t>
  </si>
  <si>
    <t xml:space="preserve">Collaborative R&amp;D Project</t>
  </si>
  <si>
    <t xml:space="preserve">5</t>
  </si>
  <si>
    <t xml:space="preserve">RM$2.7B</t>
  </si>
  <si>
    <t xml:space="preserve">Fund joint research between local universities and global chip firms; focus on advanced packaging, materials, equipment, and IC design IP</t>
  </si>
  <si>
    <t xml:space="preserve">Capital Grants</t>
  </si>
  <si>
    <t xml:space="preserve">6</t>
  </si>
  <si>
    <t xml:space="preserve">2023-2038</t>
  </si>
  <si>
    <t xml:space="preserve">RM$10B</t>
  </si>
  <si>
    <t xml:space="preserve">Design; Fabrication; APT; WFE; Materials</t>
  </si>
  <si>
    <t xml:space="preserve">Grant program for semiconductor businesses; includes existing grants that had already been announced before publishing of NSS in 2024</t>
  </si>
  <si>
    <t xml:space="preserve">Human Resources Development Fund (HRDF) for the Semiconductor Sector</t>
  </si>
  <si>
    <t xml:space="preserve">7</t>
  </si>
  <si>
    <t xml:space="preserve">2025-2030</t>
  </si>
  <si>
    <t xml:space="preserve">RM$1.25B</t>
  </si>
  <si>
    <t xml:space="preserve">Talent Development</t>
  </si>
  <si>
    <t xml:space="preserve">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</si>
  <si>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 xml:space="preserve">High Impact Fund for Semiconductors (MNCs)</t>
  </si>
  <si>
    <t xml:space="preserve">8</t>
  </si>
  <si>
    <t xml:space="preserve">2026-2030</t>
  </si>
  <si>
    <t xml:space="preserve">Multinational Corporations</t>
  </si>
  <si>
    <t xml:space="preserve">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</si>
  <si>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 xml:space="preserve">Domestic Strategic Investment fund for Semiconductors (Locally-owned companies only)</t>
  </si>
  <si>
    <t xml:space="preserve">9</t>
  </si>
  <si>
    <t xml:space="preserve">Domestic Malaysian Semiconductor Businesses</t>
  </si>
  <si>
    <t xml:space="preserve">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</si>
  <si>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 xml:space="preserve">Silicon Vision</t>
  </si>
  <si>
    <t xml:space="preserve">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</si>
  <si>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 xml:space="preserve">https://siliconvision.ekonomi.gov.my/document/silicon-vision-may2025-v2.pdf</t>
  </si>
  <si>
    <t xml:space="preserve">New Industrial Master Plan (NIMP) 2030</t>
  </si>
  <si>
    <t xml:space="preserve">Strategic Plan; Tax Incentive</t>
  </si>
  <si>
    <t xml:space="preserve">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</si>
  <si>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 xml:space="preserve">https://www.mida.gov.my/wp-content/uploads/2025/03/13032025-Guideline-for-Reinvestment-NIMP.pdf</t>
  </si>
  <si>
    <t xml:space="preserve">Co-Investment Fund</t>
  </si>
  <si>
    <t xml:space="preserve">Equity Investment; Loan</t>
  </si>
  <si>
    <t xml:space="preserve">RM$600M</t>
  </si>
  <si>
    <t xml:space="preserve">Small-to-mid sized Malaysian Manufacturing Businesses</t>
  </si>
  <si>
    <t xml:space="preserve">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</si>
  <si>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 xml:space="preserve">https://www.sc.com.my/resources/media/media-release/rm131-million-fund-launched-to-support-smes-and-mid-tier-companies-in-strategic-nimp-sectors#:~:text=and%20related%20Speeches-,RM131%2DMillion%20Fund%20Launched%20to%20Support%20SMEs%20and%20Mid%2DTier,(MTCs)%20in%20strategic%20sectors.</t>
  </si>
  <si>
    <t xml:space="preserve">Promotions of Investments Act (PIA)</t>
  </si>
  <si>
    <t xml:space="preserve">1986-Indefinitely</t>
  </si>
  <si>
    <t xml:space="preserve">Design; WFE; Logic</t>
  </si>
  <si>
    <t xml:space="preserve">Allows for 70% income tax exemption for 5 years; 100% project tax exemption; indefinite carried forward losses, all of these incentives for businesses that are deemed to have "Pioneer" status, meaning that they contribute to Malaysia's technological and economic growth</t>
  </si>
  <si>
    <t xml:space="preserve">https://ccs-co.com/post/pioneer-status-tax-incentives-in-malaysia/#:~:text=Malaysia%20offers%20Pioneer%20Status%20(PS,Status%20tax%20incentives%20in%20Malaysia:</t>
  </si>
  <si>
    <t xml:space="preserve">BOI Investment Promotion Strategy</t>
  </si>
  <si>
    <t xml:space="preserve">BOI Semiconductor Incentives</t>
  </si>
  <si>
    <t xml:space="preserve">2022-2035</t>
  </si>
  <si>
    <t xml:space="preserve">Thailand</t>
  </si>
  <si>
    <t xml:space="preserve">Fabrication; APT;  R&amp;D</t>
  </si>
  <si>
    <t xml:space="preserve">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</si>
  <si>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 xml:space="preserve">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</si>
  <si>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 xml:space="preserve">Thailand 4.0</t>
  </si>
  <si>
    <t xml:space="preserve">2015-2030</t>
  </si>
  <si>
    <t xml:space="preserve">THB 340B</t>
  </si>
  <si>
    <t xml:space="preserve">Electronics</t>
  </si>
  <si>
    <t xml:space="preserve">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</si>
  <si>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 xml:space="preserve">https://www.aseanbriefing.com/news/thailand-eastern-economic-corridor/</t>
  </si>
  <si>
    <t xml:space="preserve">Eastern Economic Corridor</t>
  </si>
  <si>
    <t xml:space="preserve">Establishes Special Economic Promotion Zones, with businesses in them eligible for visa eligibility for foreign workers; exemption or reduction from taxes for businesses; use of foreign currencies for payments; 1.7T total with government to commit 340B</t>
  </si>
  <si>
    <t xml:space="preserve">https://www.lawplusltd.com/wp-content/uploads/kalins-pdf/singles/eastern-economic-corridor-act-b-e-2561-thailand.pdf?; https://incentives.eeco.or.th/en/benefit</t>
  </si>
  <si>
    <t xml:space="preserve">Industry 4.0 Add-On</t>
  </si>
  <si>
    <t xml:space="preserve">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</si>
  <si>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 xml:space="preserve">https://www.boi.go.th/index.php?page=press_releases_detail&amp;topic_id=129511</t>
  </si>
  <si>
    <t xml:space="preserve">BOI 5-Year Investment Strategy</t>
  </si>
  <si>
    <t xml:space="preserve">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</si>
  <si>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 xml:space="preserve">https://osos.boi.go.th/download/BOI_PDF/BOI_A_Guide_2023_EN.pdf?</t>
  </si>
  <si>
    <t xml:space="preserve">Thailand Plus Package</t>
  </si>
  <si>
    <t xml:space="preserve">High-Tech Workforce Development Program</t>
  </si>
  <si>
    <t xml:space="preserve">Tax Incentive; Strategic Plan</t>
  </si>
  <si>
    <t xml:space="preserve">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</si>
  <si>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 xml:space="preserve">https://www.reuters.com/markets/asia/thailand-targets-280000-workforce-high-tech-sectors-over-5-years-2024-06-17/</t>
  </si>
  <si>
    <t xml:space="preserve">2019-2026</t>
  </si>
  <si>
    <t xml:space="preserve">Eligible companies can claim a CIT exemption equal to 50% of salary expenses paid to qualifying high-skilled STEM employees; also a 150% CIT reduction on qualifying STEM-related training expenses incurred during the same period</t>
  </si>
  <si>
    <t xml:space="preserve">https://www.bdo.th/en-gb/insights/thailand%E2%80%99s-tax-incentives-for-stem-talent-a-strategic-opportunity-for-businesses-in-target-industri#:~:text=for%20STEM%20Talent-,Thailand's%20Tax%20Incentives%20for%20STEM%20Talent:%20A%20Strategic%20Opportunity%20for,under%20Thailand's%20Competitiveness%20Enhancement%20Act.</t>
  </si>
  <si>
    <t xml:space="preserve">National Semiconductor Board</t>
  </si>
  <si>
    <t xml:space="preserve">2024-Indefinitely</t>
  </si>
  <si>
    <t xml:space="preserve">Design; Fabrication</t>
  </si>
  <si>
    <t xml:space="preserve">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</si>
  <si>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 xml:space="preserve">https://fulcrum.sg/thailands-new-semiconductor-strategy-ambitious-but-challenging/#:~:text=On%2025%20October%202024%2C%20the,chip%20design%20and%20wafer%20fabrication).</t>
  </si>
  <si>
    <t xml:space="preserve">Draft framework to position Thailand in chip design and legacy fabrication; re-proposed under new Semiconductor &amp; Advanced Electronics Policy Board.</t>
  </si>
  <si>
    <t xml:space="preserve">Thai Enterprise Competitiveness Enhancement Measures for the New Global Era</t>
  </si>
  <si>
    <t xml:space="preserve">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</si>
  <si>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 xml:space="preserve">https://www.nationthailand.com/business/investment/40052516</t>
  </si>
  <si>
    <t xml:space="preserve">CHIPS National Advanced Packaging Manufacturing Program</t>
  </si>
  <si>
    <t xml:space="preserve">$3B</t>
  </si>
  <si>
    <t xml:space="preserve">APT; R&amp;D</t>
  </si>
  <si>
    <t xml:space="preserve">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</si>
  <si>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 xml:space="preserve">https://www.nist.gov/news-events/news/2023/11/chips-america-releases-vision-approximately-3-billion-national-advanced?</t>
  </si>
  <si>
    <t xml:space="preserve">National Semiconductor Technology Center (NSTC)</t>
  </si>
  <si>
    <t xml:space="preserve">$6.3B</t>
  </si>
  <si>
    <t xml:space="preserve">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</si>
  <si>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 xml:space="preserve">https://www.theregister.com/2024/02/12/us_chips_act_funding/?; https://natcast.org/doc-finalizes-long-term-partnership-with-natcast-to-operate-the-nstc?</t>
  </si>
  <si>
    <t xml:space="preserve">CHIPS Metrology Program</t>
  </si>
  <si>
    <t xml:space="preserve">$519M</t>
  </si>
  <si>
    <t xml:space="preserve">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</si>
  <si>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 xml:space="preserve">https://www.nist.gov/news-events/news/2024/05/jarvis-leaderboard-large-scale-benchmark-materials-design-methods?utm_source</t>
  </si>
  <si>
    <t xml:space="preserve">CHIPS Manufacturing USA Institute</t>
  </si>
  <si>
    <t xml:space="preserve">$285M</t>
  </si>
  <si>
    <t xml:space="preserve">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</si>
  <si>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 xml:space="preserve">https://www.nist.gov/news-events/news/2024/11/chips-america-announces-new-proposed-285-million-award-chips-manufacturing?</t>
  </si>
  <si>
    <t xml:space="preserve">Oregon CHIPS Fund</t>
  </si>
  <si>
    <t xml:space="preserve">$240M</t>
  </si>
  <si>
    <t xml:space="preserve">Fabrication; R&amp;D; APT</t>
  </si>
  <si>
    <t xml:space="preserve">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</si>
  <si>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 xml:space="preserve">https://www.oregon.gov/biz/programs/or_chips_fund/pages/default.aspx</t>
  </si>
  <si>
    <t xml:space="preserve">Guangdong Semiconductor and Integrated Circuit Industry Equity Investment Fund</t>
  </si>
  <si>
    <t xml:space="preserve">2020-2023</t>
  </si>
  <si>
    <t xml:space="preserve">10B Yuan ($1.41B)</t>
  </si>
  <si>
    <t xml:space="preserve">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</si>
  <si>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 xml:space="preserve">https://www.tomshardware.com/tech-industry/manufacturing/chinese-province-sets-up-dollar15-billion-chip-fund-to-boost-local-semiconductor-industry?</t>
  </si>
  <si>
    <t xml:space="preserve">Phase II</t>
  </si>
  <si>
    <t xml:space="preserve">2023-2026</t>
  </si>
  <si>
    <t xml:space="preserve">11B Yuan ($1.5B USD)</t>
  </si>
  <si>
    <t xml:space="preserve">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</si>
  <si>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 xml:space="preserve">Shenzhen Semiconductor &amp; IC Investment Fund</t>
  </si>
  <si>
    <t xml:space="preserve">5B Yuan ($600M USD)</t>
  </si>
  <si>
    <t xml:space="preserve">WFE; Design; Logic</t>
  </si>
  <si>
    <t xml:space="preserve">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</si>
  <si>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 xml:space="preserve">https://finance.eastmoney.com/a/202510173536933033.html</t>
  </si>
  <si>
    <t xml:space="preserve">Shanghai Integrated Circuit Industry Fund</t>
  </si>
  <si>
    <t xml:space="preserve">Phase I</t>
  </si>
  <si>
    <t xml:space="preserve">28.5B Yuan ($4B USD)</t>
  </si>
  <si>
    <t xml:space="preserve">Fabrication; WFE; Materials; Design</t>
  </si>
  <si>
    <t xml:space="preserve">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</si>
  <si>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 xml:space="preserve">https://startup.aliyun.com/info/1092847.html?</t>
  </si>
  <si>
    <t xml:space="preserve">2020-2024</t>
  </si>
  <si>
    <t xml:space="preserve">14.53B Yuan ($2B USD)</t>
  </si>
  <si>
    <t xml:space="preserve">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</si>
  <si>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 xml:space="preserve">Phase III</t>
  </si>
  <si>
    <t xml:space="preserve">530M Yuan (74.3M USD)</t>
  </si>
  <si>
    <t xml:space="preserve">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</si>
  <si>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 xml:space="preserve">Jiangsu Strategic Emerging Industry Mother Fund</t>
  </si>
  <si>
    <t xml:space="preserve">2025-2033</t>
  </si>
  <si>
    <t xml:space="preserve">50b Yuan ($7B USD)</t>
  </si>
  <si>
    <t xml:space="preserve">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</si>
  <si>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 xml:space="preserve">https://www.cls.cn/detail/1797798?</t>
  </si>
  <si>
    <t xml:space="preserve">Wuxi Integrated Circuit Mother Fund</t>
  </si>
  <si>
    <t xml:space="preserve">5b Yuan ($520M USD)</t>
  </si>
  <si>
    <t xml:space="preserve">WFE; Design; Photonics</t>
  </si>
  <si>
    <t xml:space="preserve">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</si>
  <si>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 xml:space="preserve">Beijing Integrated Circuit Industry Investment Fund</t>
  </si>
  <si>
    <t xml:space="preserve">8.5b Yuan</t>
  </si>
  <si>
    <t xml:space="preserve">Logic</t>
  </si>
  <si>
    <t xml:space="preserve">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</si>
  <si>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 xml:space="preserve">https://www.silicon.co.uk/workspace/components/beijing-chip-fund-577777</t>
  </si>
  <si>
    <t xml:space="preserve">CHIPS Program Office</t>
  </si>
  <si>
    <t xml:space="preserve">$39B</t>
  </si>
  <si>
    <t xml:space="preserve">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</si>
  <si>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 xml:space="preserve">Export Controls on Semiconductor Manufaturing Equipment</t>
  </si>
  <si>
    <t xml:space="preserve">apan added 23 categories of semiconductor tools to its export list, requiring licenses (notably advanced deposition/etch, immersion lithography). Policy alignment with U.S./EU aims to block transfer of advanced-node capabilities to China’s military-linked ecosystem</t>
  </si>
  <si>
    <t xml:space="preserve">https://www.hoganlovells.com/en/publications/japans-new-chip-equipment-export-rules-take-effect</t>
  </si>
  <si>
    <t xml:space="preserve">Restrictions Of Special Taxation Act (RSTA)</t>
  </si>
  <si>
    <t xml:space="preserve">15-25% Tax Credit; 30-50% R&amp;D Credit</t>
  </si>
  <si>
    <t xml:space="preserve">Fabrication; Design; APT; Equipment; Materials; R&amp;D</t>
  </si>
  <si>
    <t xml:space="preserve">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</si>
  <si>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 xml:space="preserve">https://elaw.klri.re.kr/eng_service/lawView.do?hseq=43262&amp;lang=ENG&amp;</t>
  </si>
  <si>
    <t xml:space="preserve">Technology Development Promotion Act (TDPA)</t>
  </si>
  <si>
    <t xml:space="preserve">2021-Indefinitely</t>
  </si>
  <si>
    <t xml:space="preserve">R&amp;D; APT; Materials</t>
  </si>
  <si>
    <t xml:space="preserve">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</si>
  <si>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 xml:space="preserve">https://elaw.klri.re.kr/eng_service/lawView.do?hseq=4656&amp;lang=ENG&amp;</t>
  </si>
  <si>
    <t xml:space="preserve">Horizon Europe</t>
  </si>
  <si>
    <t xml:space="preserve">2021-2027</t>
  </si>
  <si>
    <t xml:space="preserve">€1.65B</t>
  </si>
  <si>
    <t xml:space="preserve">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</si>
  <si>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 xml:space="preserve">https://commission.europa.eu/strategy-and-policy/eu-budget/motion/focus/eu-budget-bolsters-europes-technological-leadership-european-chips-act_en#:~:text=details%20%E2%80%93%20results%20achieved-,The%20role%20of%20the%20EU%20budget,by%20long%2Dterm%20private%20investment.</t>
  </si>
  <si>
    <t xml:space="preserve">Digital Europe</t>
  </si>
  <si>
    <t xml:space="preserve">Fabrication; Logic</t>
  </si>
  <si>
    <t xml:space="preserve">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</si>
  <si>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 xml:space="preserve">ECSEL (Under the European Union Horizon 2020 budget)</t>
  </si>
  <si>
    <t xml:space="preserve">2014-2020</t>
  </si>
  <si>
    <t xml:space="preserve">€4.8B (total announced for program)</t>
  </si>
  <si>
    <t xml:space="preserve">WFE; R&amp;D; Design</t>
  </si>
  <si>
    <t xml:space="preserve">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</si>
  <si>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 xml:space="preserve">https://artemis-ia.eu/ecsel-joint-undertaking.html#:~:text=Duration%20of%20the%20programme:%207,participation:%20http://ecsel.eu</t>
  </si>
  <si>
    <t xml:space="preserve">DOD Microelectronics Commons</t>
  </si>
  <si>
    <t xml:space="preserve">$2.0B</t>
  </si>
  <si>
    <t xml:space="preserve">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</si>
  <si>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 xml:space="preserve">http://www.semiconductors.materiell.net/chips-rd-programs/#:~:text=CHIPS%20R&amp;D%20Programs%20Funding%20Allocation,NAPMP%20(3)</t>
  </si>
  <si>
    <t xml:space="preserve">Texas Semiconductor Innovation Fund (TSIF)</t>
  </si>
  <si>
    <t xml:space="preserve">$948M</t>
  </si>
  <si>
    <t xml:space="preserve">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</si>
  <si>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 xml:space="preserve">Funding for R&amp;D at leading Texas Universities</t>
  </si>
  <si>
    <t xml:space="preserve">$660M</t>
  </si>
  <si>
    <t xml:space="preserve">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</si>
  <si>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 xml:space="preserve">13th Five-Year Plan</t>
  </si>
  <si>
    <t xml:space="preserve">–</t>
  </si>
  <si>
    <t xml:space="preserve">Fabrication; Design; APT; R&amp;D</t>
  </si>
  <si>
    <t xml:space="preserve">China's 13th FYP marked semiconductors as a “strategic, basic, and pioneering industry,” accelerating national funding, tax incentives, and industrial clustering under Made in China 2025. Strengthened support for memory, logic, equipment, and materials localization.</t>
  </si>
  <si>
    <t xml:space="preserve">https://en.ndrc.gov.cn/policies/202105/P020210527785800103339.pdf</t>
  </si>
  <si>
    <t xml:space="preserve">14th Five-Year Plan</t>
  </si>
  <si>
    <t xml:space="preserve">R&amp;D; Design</t>
  </si>
  <si>
    <t xml:space="preserve">China’s 14th FYP elevated semiconductors as a “core national priority,” expanding funding for EDA and research</t>
  </si>
  <si>
    <t xml:space="preserve">https://cset.georgetown.edu/publication/china-14th-five-year-plan/</t>
  </si>
  <si>
    <t xml:space="preserve">Artificial Intelligence Strategy</t>
  </si>
  <si>
    <t xml:space="preserve">2020-2025</t>
  </si>
  <si>
    <t xml:space="preserve">Subsidy; Strategic Plan</t>
  </si>
  <si>
    <t xml:space="preserve">₩1.96T</t>
  </si>
  <si>
    <t xml:space="preserve">Logic; Design; R&amp;D</t>
  </si>
  <si>
    <t xml:space="preserve">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</si>
  <si>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 xml:space="preserve">https://globaltradealert.org/state-act/62404-republic-of-korea-government-publishes-national-strategy-for-artificial-intelligence?</t>
  </si>
  <si>
    <t xml:space="preserve">Program for Promoting Investment in Japan to Strengthen Supply Chains</t>
  </si>
  <si>
    <t xml:space="preserve">¥550B</t>
  </si>
  <si>
    <t xml:space="preserve">Materials; Fabrication; WFE</t>
  </si>
  <si>
    <t xml:space="preserve">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</si>
  <si>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 xml:space="preserve">https://globaltradealert.org/intervention/115180</t>
  </si>
  <si>
    <t xml:space="preserve">Economic Measures for Overcoming COVID-19 and Opening a New Era</t>
  </si>
  <si>
    <t xml:space="preserve">2021-2024</t>
  </si>
  <si>
    <t xml:space="preserve">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</si>
  <si>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 xml:space="preserve">https://www5.cao.go.jp/keizai1/keizaitaisaku/2021/20211119_economic_measures_all.pdf; https://www5.cao.go.jp/keizai1/keizaitaisaku/2021/20211119_economic_measures_all.pdf</t>
  </si>
  <si>
    <t xml:space="preserve">Key and Advanced Technology R&amp;D Fund (K Program)</t>
  </si>
  <si>
    <t xml:space="preserve">¥250B</t>
  </si>
  <si>
    <t xml:space="preserve">Funds focused on promoting the development of critical technologies important for economic security such as AI and quantum technology</t>
  </si>
  <si>
    <t xml:space="preserve">https://www.meti.go.jp/english/report/data/wp2023/pdf/2-1-2.pdf#:~:text=technologies%20are%20promoted%20through%20public,html</t>
  </si>
  <si>
    <t xml:space="preserve">National Growth Fund</t>
  </si>
  <si>
    <t xml:space="preserve">₩150T (5-year fund); ₩20.9T (semiconductors in 2026 plan)</t>
  </si>
  <si>
    <t xml:space="preserve">Fabrication; Design; Materials; WFE; APT; Data Center</t>
  </si>
  <si>
    <t xml:space="preserve">2026 management plan allocates ₩20.9T to semiconductors; infrastructure investment loans include power/water facilities supporting high-tech clusters</t>
  </si>
  <si>
    <t xml:space="preserve">https://www.mk.co.kr/en/economy/11493849; https://www.chosun.com/english/market-money-en/2025/12/11/25QXCJ2Q4NCINOC5EXP6SR3QYQ/</t>
  </si>
  <si>
    <t xml:space="preserve">Temporary Suspension and Extension of Section 301 Tariffs</t>
  </si>
  <si>
    <t xml:space="preserve">2027-Indefinitely</t>
  </si>
  <si>
    <t xml:space="preserve">USTR determined China’s acts, policies, and practices related to targeting semiconductor industry dominance are actionable under Section 301; tariff action established with an initial additional duty rate of 0%, effective upon publication; 0% rate remains in effect until June 23, 2027, after which USTR may impose a higher tariff rate with ≥30 days’ notice prior to implementation</t>
  </si>
  <si>
    <t xml:space="preserve">https://public-inspection.federalregister.gov/2025-23912.pdf</t>
  </si>
  <si>
    <t xml:space="preserve">Chipmaker Domestic Capacity Mandate</t>
  </si>
  <si>
    <t xml:space="preserve">Authorities require chipmakers to use ≥50% domestically manufactured equipment for new semiconductor manufacturing capacity (expansions/new fabs); flexibility/exemptions where local tools are unavailable; stated direction toward 100% domestic reliance over time</t>
  </si>
  <si>
    <t xml:space="preserve">https://www.reuters.com/world/china/china-mandates-50-domestic-equipment-rule-chipmakers-sources-say-2025-12-30/</t>
  </si>
  <si>
    <t xml:space="preserve">Expansion of Program</t>
  </si>
  <si>
    <t xml:space="preserve">2025-2027</t>
  </si>
  <si>
    <t xml:space="preserve">Loan; Subsidy</t>
  </si>
  <si>
    <t xml:space="preserve">₩7T ($4.8B USD)</t>
  </si>
  <si>
    <t xml:space="preserve">R&amp;D; Design; APT; Fabrication</t>
  </si>
  <si>
    <t xml:space="preserve">April 2025 expansion of Korea’s 2024 semiconductor support package; total support increased to ₩33T from ₩26T; low-interest loan program expanded from ₩17T → ₩20T (+₩3T incremental); additional infrastructure and financial support for semiconductor clusters including Yongin &amp; Pyeongtaek.</t>
  </si>
  <si>
    <t xml:space="preserve">https://www.reuters.com/technology/south-korea-unveils-23-billion-support-package-chips-amid-us-tariff-uncertainty-2025-04-14/</t>
  </si>
  <si>
    <t xml:space="preserve">K-Cloud Technology Development Project</t>
  </si>
  <si>
    <t xml:space="preserve">Grant</t>
  </si>
  <si>
    <t xml:space="preserve">₩342B</t>
  </si>
  <si>
    <t xml:space="preserve">Design; R&amp;D</t>
  </si>
  <si>
    <t xml:space="preserve">MSIT-led program to commercialize domestic AI semiconductors (NPUs) on Korean cloud infrastructure; Phase 1 (2022-2025) + Phase 2 (2025-2030, ₩400B)</t>
  </si>
  <si>
    <t xml:space="preserve">https://www.korea.net/Government/Briefing-Room/Press-Releases/view?articleId=8026;https://outlook.stpi.niar.org.tw/index/news/4b11410096d362580196e5fec2d535c1?</t>
  </si>
  <si>
    <t xml:space="preserve">Semiconductor Special Act</t>
  </si>
  <si>
    <t xml:space="preserve">65</t>
  </si>
  <si>
    <t xml:space="preserve">2026</t>
  </si>
  <si>
    <t xml:space="preserve">2026-Indefinitely</t>
  </si>
  <si>
    <t xml:space="preserve">Framework; Subsidy</t>
  </si>
  <si>
    <t xml:space="preserve">50-100% infrastructure support; ₩2tn special account (delayed 2027)</t>
  </si>
  <si>
    <t xml:space="preserve">Fabrication; R&amp;D; Infrastructure</t>
  </si>
  <si>
    <t xml:space="preserve">Establishes comprehensive semiconductor support framework; creates special account through 2036; provides 50–100% infrastructure support for semiconductor clusters; offers tax, fee, and land-use incentives; supports R&amp;D, commercialization, and workforce development</t>
  </si>
  <si>
    <t xml:space="preserve">https://www.db24.kr/news_view.jsp?news_cd=161</t>
  </si>
  <si>
    <t xml:space="preserve">3S+1F Semiconductor Megaproject</t>
  </si>
  <si>
    <t xml:space="preserve">2026-2041</t>
  </si>
  <si>
    <t xml:space="preserve">See subprojects</t>
  </si>
  <si>
    <t xml:space="preserve">Fabrication; APT; Design; Materials; R&amp;D</t>
  </si>
  <si>
    <t xml:space="preserve">Announced 2026-06-29. Nationwide semiconductor strategy covering regional fabrication, advanced packaging, next-gen semiconductors and ecosystem support. Private capex excluded from tracker.</t>
  </si>
  <si>
    <t xml:space="preserve">https://www.motir.go.kr/kor/article/ATCL3c536e4ec/79798/view</t>
  </si>
  <si>
    <t xml:space="preserve">Future Semiconductor Spearhead Program</t>
  </si>
  <si>
    <t xml:space="preserve">₩30tn+ over 15 years</t>
  </si>
  <si>
    <t xml:space="preserve">R&amp;D; Design; Fabrication</t>
  </si>
  <si>
    <t xml:space="preserve">Announced 2026-06-29. Govt investment supporting next-gen memory, edge AI and defense semiconductors across R&amp;D, design, testing and manufacturing.</t>
  </si>
  <si>
    <t xml:space="preserve">Sobujang / Fabless Semiconductor Support</t>
  </si>
  <si>
    <t xml:space="preserve">₩5tn fund + ₩5tn trade finance + ₩1tn 10-yr program</t>
  </si>
  <si>
    <t xml:space="preserve">Materials; Design (fabless &amp; sobujang SMEs)</t>
  </si>
  <si>
    <t xml:space="preserve">Announced 2026-08-10. Govt support for semiconductor materials/parts/equipment and fabless firms through dedicated fund, trade finance and long-term supplier cooperation support.</t>
  </si>
  <si>
    <t xml:space="preserve">https://www.reuters.com/world/asia-pacific/south-koreas-lee-wants-military-airbase-relocated-by-mid-2028-chip-cluster-2026-08-10/</t>
  </si>
  <si>
    <t xml:space="preserve">EU Chips Act 2.0</t>
  </si>
  <si>
    <t xml:space="preserve">Fabrication; APT; WFE; Materials; Design; R&amp;D</t>
  </si>
  <si>
    <t xml:space="preserve">Commission proposal published 2026-06-03 building on the European Chips Act; expands state-aid eligibility across the full semiconductor value chain; introduces Strategic Projects, Demand Accelerators and faster permitting; strengthens R&amp;D, advanced manufacturing and supply-chain resilience.</t>
  </si>
  <si>
    <t xml:space="preserve">https://digital-strategy.ec.europa.eu/en/policies/chips-act-2</t>
  </si>
  <si>
    <t xml:space="preserve">RIE 2030 Semiconductor Flagship</t>
  </si>
  <si>
    <t xml:space="preserve">S$800M</t>
  </si>
  <si>
    <t xml:space="preserve">R&amp;D; APT; Design</t>
  </si>
  <si>
    <t xml:space="preserve">S$800 million govt R&amp;D program under RIE2030; coordinates publicly funded semiconductor research focused on advanced packaging, photonics and heterogeneous integration; supports translation of research into commercial products and advanced manufacturing.</t>
  </si>
  <si>
    <t xml:space="preserve">https://www.edb.gov.sg/en/business-insights/insights/budget-2026-singapore-commits-s800-million-to-semiconductor-research-and-development-to-deepen-high-impact-tech-capabilities.html</t>
  </si>
  <si>
    <t xml:space="preserve">44</t>
  </si>
  <si>
    <t xml:space="preserve">Fabrication; APT; R&amp;D; Electronics</t>
  </si>
  <si>
    <t xml:space="preserve">Thailand Board of Investment (BOI) portfolio of semiconductor investment incentives, comprising specialised BOI semiconductor incentives (front-end wafer fabrication up to 10-year corporate tax holiday and back-end/wafer-slicing/assembly benefits), the Industry 4.0 add-on covering the Eastern Economic Corridor, and the 5-year investment strategy (CIT exemptions, machinery thresholds, and import-duty exemptions).</t>
  </si>
  <si>
    <t xml:space="preserve">52</t>
  </si>
  <si>
    <t xml:space="preserve">2016-2029</t>
  </si>
  <si>
    <t xml:space="preserve">Shanghai municipal government equity investment fund supporting the local integrated-circuit value chain across design, manufacturing, packaging/test, and equipment. Established in 2016 and expanded through Phase II (2020) and Phase III (2025).</t>
  </si>
  <si>
    <t xml:space="preserve">Distribution Name</t>
  </si>
  <si>
    <t xml:space="preserve">Distribution ID</t>
  </si>
  <si>
    <t xml:space="preserve">Country</t>
  </si>
  <si>
    <t xml:space="preserve">USD (in $Ms)</t>
  </si>
  <si>
    <t xml:space="preserve">Intel Magdeburg Fab</t>
  </si>
  <si>
    <t xml:space="preserve">Germany</t>
  </si>
  <si>
    <t xml:space="preserve">€10B</t>
  </si>
  <si>
    <t xml:space="preserve">Intel Magdeburg mega-fab cancelled July 2025</t>
  </si>
  <si>
    <t xml:space="preserve">https://ukandeu.ac.uk/the-significance-of-german-subsidies-for-intel/</t>
  </si>
  <si>
    <t xml:space="preserve">TSMC Bosch Dresden Fab</t>
  </si>
  <si>
    <t xml:space="preserve">€5B</t>
  </si>
  <si>
    <t xml:space="preserve">TSMC-led Dresden 300mm fab producing automotive focused chips</t>
  </si>
  <si>
    <t xml:space="preserve">https://www.bosch-semiconductors.com/stories/starting-signal-for-state-of-the-art-chip-factory-esmc-in-dresden/</t>
  </si>
  <si>
    <t xml:space="preserve">STM Chip Fabrication Facility</t>
  </si>
  <si>
    <t xml:space="preserve">2024-2032</t>
  </si>
  <si>
    <t xml:space="preserve">Italy</t>
  </si>
  <si>
    <t xml:space="preserve">€2B</t>
  </si>
  <si>
    <t xml:space="preserve">200mm SiC fab for automotive, industrial, cloud infrastructure</t>
  </si>
  <si>
    <t xml:space="preserve">https://ec.europa.eu/commission/presscorner/api/files/document/print/en/ip_24_2994/IP_24_2994_EN.pdf</t>
  </si>
  <si>
    <t xml:space="preserve">STM/Global Foundries Fab</t>
  </si>
  <si>
    <t xml:space="preserve">€2.9B</t>
  </si>
  <si>
    <t xml:space="preserve">France-funded FDSOI fab for low-power wireless and CMOS</t>
  </si>
  <si>
    <t xml:space="preserve">https://www.eenewseurope.com/en/st-glofo-suspend-plan-for-joint-wafer-fab-say-reports/</t>
  </si>
  <si>
    <t xml:space="preserve">JASM</t>
  </si>
  <si>
    <t xml:space="preserve">2022-2024</t>
  </si>
  <si>
    <t xml:space="preserve">¥476B ($3.2B USD)</t>
  </si>
  <si>
    <t xml:space="preserve">JASM Japan fab exceeds 100k wafers monthly multiple nodes</t>
  </si>
  <si>
    <t xml:space="preserve">https://asia.nikkei.com/business/tech/semiconductors/japan-to-subsidize-tsmc-s-kumamoto-plant-by-up-to-3.5bn; https://pr.tsmc.com/english/news/3113#:~:text=The%20opening%20marks%20a%20significant%20milestone%20for,to%20begin%20by%20the%20end%20of%202024.</t>
  </si>
  <si>
    <t xml:space="preserve">JASM Fab Two</t>
  </si>
  <si>
    <t xml:space="preserve">¥732B ($4.99B USD)</t>
  </si>
  <si>
    <t xml:space="preserve">Second JASM fab delayed prioritizing U.S. investment traffic issues</t>
  </si>
  <si>
    <t xml:space="preserve">https://www.trendforce.com/news/2025/07/25/news-tsmc-reportedly-delays-kumamoto-2nd-fab-launch-to-2029-amid-u-s-expansion-push/; https://www.reuters.com/technology/tokyo-pledges-further-49-bln-help-tsmc-expand-japan-production-2024-02-24/</t>
  </si>
  <si>
    <t xml:space="preserve">Micron Hiroshima DRAM Fab Investment 2</t>
  </si>
  <si>
    <t xml:space="preserve">¥540B ($3.63B USD)</t>
  </si>
  <si>
    <t xml:space="preserve">Japan fab start moved to 2027 due market softness</t>
  </si>
  <si>
    <t xml:space="preserve">https://www.trendforce.com/news/2025/09/19/news-japan-pledged-jpy-536-billion-to-micron-escalating-global-semiconductor-subsidy-race/</t>
  </si>
  <si>
    <t xml:space="preserve">Rapidus Grant Two</t>
  </si>
  <si>
    <t xml:space="preserve">2022-2027</t>
  </si>
  <si>
    <t xml:space="preserve">Equity Grant / R&amp;D Subsidy</t>
  </si>
  <si>
    <t xml:space="preserve">¥802B</t>
  </si>
  <si>
    <t xml:space="preserve">Logic; Fabrication</t>
  </si>
  <si>
    <t xml:space="preserve">Rapidus consortium developing advanced 2nm logic chips domestically</t>
  </si>
  <si>
    <t xml:space="preserve">https://news.metal.com/newscontent/103260356/Japan-Allocates-172-Trillion-Yen-to-Secure-Semiconductor-Supply-Boosts-Rapidus-Aid</t>
  </si>
  <si>
    <t xml:space="preserve">Arm Holdings IP Purchase and Office Opening</t>
  </si>
  <si>
    <t xml:space="preserve">RM$250M</t>
  </si>
  <si>
    <t xml:space="preserve">Malaysia gains Arm IP access plus trains 10k engineers</t>
  </si>
  <si>
    <t xml:space="preserve">https://www.reuters.com/markets/asia/malaysia-minister-says-pay-arm-holdings-250-million-chips-design-blueprints-2025-03-05/</t>
  </si>
  <si>
    <t xml:space="preserve">Albany Nanotech EUV Lithography Center</t>
  </si>
  <si>
    <t xml:space="preserve">2025-2026</t>
  </si>
  <si>
    <t xml:space="preserve">$825M</t>
  </si>
  <si>
    <t xml:space="preserve">WFE; APT</t>
  </si>
  <si>
    <t xml:space="preserve">$825M U.S. EUV lithography research center construction funding</t>
  </si>
  <si>
    <t xml:space="preserve">https://www.csis.org/analysis/albany-nanotechs-potential-support-national-semiconductor-technology-center</t>
  </si>
  <si>
    <t xml:space="preserve">Natcast NSTC Operating Agreement</t>
  </si>
  <si>
    <t xml:space="preserve">R&amp;D; Talent Development</t>
  </si>
  <si>
    <t xml:space="preserve">Natcast operating United States National Semiconductor Technology Center</t>
  </si>
  <si>
    <t xml:space="preserve">https://www.commerce.gov/news/press-releases/2025/01/department-commerce-finalizes-long-term-partnership-natcast-operate?</t>
  </si>
  <si>
    <t xml:space="preserve">Natcast Advanced Packaging Pilot Facility</t>
  </si>
  <si>
    <t xml:space="preserve">$1.1B</t>
  </si>
  <si>
    <t xml:space="preserve">$1.1B advanced packaging APT pilot facility supporting CHIPS Act</t>
  </si>
  <si>
    <t xml:space="preserve">https://www.ahwatukee.com/1-2b-heading-to-tempe-chip-sector/article_15125172-d76f-11ef-ad75-0fb34a97b3b5.html</t>
  </si>
  <si>
    <t xml:space="preserve">R&amp;D Funding for Materials and Substrates</t>
  </si>
  <si>
    <t xml:space="preserve">$300M</t>
  </si>
  <si>
    <t xml:space="preserve">$300M funding advanced semiconductor substrates and materials innovation</t>
  </si>
  <si>
    <t xml:space="preserve">https://www.nist.gov/chips/research-development-programs/national-advanced-packaging-manufacturing-program</t>
  </si>
  <si>
    <t xml:space="preserve">SRC Grant to build CHIPS Manufacturing USA Institute HQ</t>
  </si>
  <si>
    <t xml:space="preserve">2025-2025</t>
  </si>
  <si>
    <t xml:space="preserve">APT; Fabrication</t>
  </si>
  <si>
    <t xml:space="preserve">Digital twin R&amp;D facility improving semiconductor manufacturing productivity</t>
  </si>
  <si>
    <t xml:space="preserve">https://www.manufacturingusa.com/news/biden-harris-administration-awards-semiconductor-research-corporation-manufacturing-consortium?</t>
  </si>
  <si>
    <t xml:space="preserve">GlobalFoundries Malta Fab</t>
  </si>
  <si>
    <t xml:space="preserve">2024-2027</t>
  </si>
  <si>
    <t xml:space="preserve">$1.45B</t>
  </si>
  <si>
    <t xml:space="preserve">GlobalFoundries receives $1.45B fab expansion modernization and packaging</t>
  </si>
  <si>
    <t xml:space="preserve">https://www.nist.gov/chips/chips-america-awards?page=1</t>
  </si>
  <si>
    <t xml:space="preserve">Micron Manassas Expansion Project</t>
  </si>
  <si>
    <t xml:space="preserve">$1.5B</t>
  </si>
  <si>
    <t xml:space="preserve">GF Manassas expansion supports defense automotive chip supply resiliency</t>
  </si>
  <si>
    <t xml:space="preserve">Infinera APT Facility</t>
  </si>
  <si>
    <t xml:space="preserve">$93M</t>
  </si>
  <si>
    <t xml:space="preserve">Fabrication; APT</t>
  </si>
  <si>
    <t xml:space="preserve">InP PIC testing and packaging facility supporting growing demand</t>
  </si>
  <si>
    <t xml:space="preserve">Edwards Vacuum Pump Facility</t>
  </si>
  <si>
    <t xml:space="preserve">2024-2025</t>
  </si>
  <si>
    <t xml:space="preserve">$18M</t>
  </si>
  <si>
    <t xml:space="preserve">Domestic vacuum pump expansion resolves semiconductor-grade supply shortages</t>
  </si>
  <si>
    <t xml:space="preserve">GlobalFoundries Burlington VT Fab Revitalization</t>
  </si>
  <si>
    <t xml:space="preserve">Unknown</t>
  </si>
  <si>
    <t xml:space="preserve">$125M</t>
  </si>
  <si>
    <t xml:space="preserve">200mm GaN-on-Si fab commercializing EV power semiconductor technologies</t>
  </si>
  <si>
    <t xml:space="preserve">Infinera Foundry Expansion</t>
  </si>
  <si>
    <t xml:space="preserve">InP PIC foundry expansion plus additional cleanroom modernization investments</t>
  </si>
  <si>
    <t xml:space="preserve">Corning Plant Expansion</t>
  </si>
  <si>
    <t xml:space="preserve">$32M</t>
  </si>
  <si>
    <t xml:space="preserve">Boost fused silica and extreme ULE glass domestic production</t>
  </si>
  <si>
    <t xml:space="preserve">Texas Instruments Lehi UT Fab</t>
  </si>
  <si>
    <t xml:space="preserve">2024-2026</t>
  </si>
  <si>
    <t xml:space="preserve">$700M</t>
  </si>
  <si>
    <t xml:space="preserve">Utah 300mm fab manufacturing 28–65nm analog embedded semiconductors</t>
  </si>
  <si>
    <t xml:space="preserve">Texas Instruments Sherman TX Fab</t>
  </si>
  <si>
    <t xml:space="preserve">$900M</t>
  </si>
  <si>
    <t xml:space="preserve">Two mature-node fabs producing 65–130nm U.S. semiconductor supply</t>
  </si>
  <si>
    <t xml:space="preserve">Samsung Electronics Taylor TX Fab</t>
  </si>
  <si>
    <t xml:space="preserve">$4.745B</t>
  </si>
  <si>
    <t xml:space="preserve">Taylor 2nm fabs delayed lacking customers and technology readiness</t>
  </si>
  <si>
    <t xml:space="preserve">SK Hynix West Lafayette IN Fab</t>
  </si>
  <si>
    <t xml:space="preserve">2025-2028</t>
  </si>
  <si>
    <t xml:space="preserve">$958M</t>
  </si>
  <si>
    <t xml:space="preserve">HBM advanced packaging fab strengthening U.S. memory supply resiliency</t>
  </si>
  <si>
    <t xml:space="preserve">GlobalWafers Sherman TX Fab</t>
  </si>
  <si>
    <t xml:space="preserve">$380M</t>
  </si>
  <si>
    <t xml:space="preserve">Large silicon wafer facility supporting leading-edge and mature nodes</t>
  </si>
  <si>
    <t xml:space="preserve">Global Wafers St. Peters MO Fab</t>
  </si>
  <si>
    <t xml:space="preserve">$20M</t>
  </si>
  <si>
    <t xml:space="preserve">SOI wafer fab enabling advanced semiconductor application manufacturing</t>
  </si>
  <si>
    <t xml:space="preserve">Micron Boise ID Fabs</t>
  </si>
  <si>
    <t xml:space="preserve">$3.05B</t>
  </si>
  <si>
    <t xml:space="preserve">Two high-volume memory fabs co-located with R&amp;D hub</t>
  </si>
  <si>
    <t xml:space="preserve">Micron Clay NY Fabs</t>
  </si>
  <si>
    <t xml:space="preserve">first two fabs of planned four fab “megafab” focused on leading-edge DRAM chip productio</t>
  </si>
  <si>
    <t xml:space="preserve">Absolics Covington GA Manufacturing Facility</t>
  </si>
  <si>
    <t xml:space="preserve">$75M</t>
  </si>
  <si>
    <t xml:space="preserve">Materials; APT</t>
  </si>
  <si>
    <t xml:space="preserve">Glass substrate facility supporting advanced semiconductor packaging platforms</t>
  </si>
  <si>
    <t xml:space="preserve">Entegris Colorado Springs CO Manufacturing Facility</t>
  </si>
  <si>
    <t xml:space="preserve">$77M</t>
  </si>
  <si>
    <t xml:space="preserve">FOUP filtration manufacturing expansion strengthening materials supply chain</t>
  </si>
  <si>
    <t xml:space="preserve">Intel Rio Rancho NM Packaging Facility</t>
  </si>
  <si>
    <t xml:space="preserve">2024-2024</t>
  </si>
  <si>
    <t xml:space="preserve">$500M</t>
  </si>
  <si>
    <t xml:space="preserve">Advanced packaging modernization closing U.S. semiconductor capability gap</t>
  </si>
  <si>
    <t xml:space="preserve">Intel New Albany OH Fab</t>
  </si>
  <si>
    <t xml:space="preserve">Leading-edge Intel logic fab supporting 14A and successors</t>
  </si>
  <si>
    <t xml:space="preserve">Intel Chandler AZ Fab</t>
  </si>
  <si>
    <t xml:space="preserve">$3.94B</t>
  </si>
  <si>
    <t xml:space="preserve">Intel 18A fabs expanding modernized domestic advanced logic capacity</t>
  </si>
  <si>
    <t xml:space="preserve">Intel Hillsboro Oregon Fab Modernization</t>
  </si>
  <si>
    <t xml:space="preserve">$1.86B</t>
  </si>
  <si>
    <t xml:space="preserve">High-NA EUV development facility expanding technology breakthroughs domestically</t>
  </si>
  <si>
    <t xml:space="preserve">BAE Systems Nashua NH Fab Modernization</t>
  </si>
  <si>
    <t xml:space="preserve">$35.5M</t>
  </si>
  <si>
    <t xml:space="preserve">Aging equipment replaced supporting critical DoD semiconductor programs</t>
  </si>
  <si>
    <t xml:space="preserve">Rocket Lab Albuquerque NM</t>
  </si>
  <si>
    <t xml:space="preserve">$23.9M</t>
  </si>
  <si>
    <t xml:space="preserve">Space-grade solar cell capacity increased 50% meeting demand</t>
  </si>
  <si>
    <t xml:space="preserve">TSMC Phoenix AZ Fab</t>
  </si>
  <si>
    <t xml:space="preserve">$6.6B</t>
  </si>
  <si>
    <t xml:space="preserve">Three Phoenix 2nm fabs exceeding $65B private investment</t>
  </si>
  <si>
    <t xml:space="preserve">Polar Semiconductor Bloomington MN Fab</t>
  </si>
  <si>
    <t xml:space="preserve">$123M</t>
  </si>
  <si>
    <t xml:space="preserve">Expanded facility doubling U.S. sensor and power chip output</t>
  </si>
  <si>
    <t xml:space="preserve">Amkor Peoria, AZ Fab</t>
  </si>
  <si>
    <t xml:space="preserve">$407M</t>
  </si>
  <si>
    <t xml:space="preserve">$7 billion semiconductor packaging and test facility in Peoria, Arizona</t>
  </si>
  <si>
    <t xml:space="preserve">https://www.nist.gov/chips/chips-america-awards</t>
  </si>
  <si>
    <t xml:space="preserve">Arizona State University</t>
  </si>
  <si>
    <t xml:space="preserve">$100M</t>
  </si>
  <si>
    <t xml:space="preserve">developing the next generation of microelectronics packaging through fan-out-wafer-level processing</t>
  </si>
  <si>
    <t xml:space="preserve">Absolics Inc. – Covington, GA</t>
  </si>
  <si>
    <t xml:space="preserve">Develops glass-core panel packaging technology</t>
  </si>
  <si>
    <t xml:space="preserve">Applied Materials – Santa Clara, CA</t>
  </si>
  <si>
    <t xml:space="preserve">Builds silicon-core substrate packaging technology</t>
  </si>
  <si>
    <t xml:space="preserve">HP Lab-to-Fab Corvallis OR Expansion</t>
  </si>
  <si>
    <t xml:space="preserve">$53M</t>
  </si>
  <si>
    <t xml:space="preserve">part of the company’s “lab-to-fab” ecosystem in the region that spans from research and development (“R&amp;D”) activities to commercial manufacturing operations.</t>
  </si>
  <si>
    <t xml:space="preserve">Hemlock Semiconductor Hemlock MI Plant</t>
  </si>
  <si>
    <t xml:space="preserve">$325M</t>
  </si>
  <si>
    <t xml:space="preserve">Facility supporting the production of hyper-pure polysilicon</t>
  </si>
  <si>
    <t xml:space="preserve">Semiconductor Research Corporation Manufacturing Consortium Corporation (SRC)</t>
  </si>
  <si>
    <t xml:space="preserve">Establishing and operating a manufacturing USA institute</t>
  </si>
  <si>
    <t xml:space="preserve">Berkeley Activate Program</t>
  </si>
  <si>
    <t xml:space="preserve">$5M</t>
  </si>
  <si>
    <t xml:space="preserve">Program to fund 10 early stage companies with innovative ideas</t>
  </si>
  <si>
    <t xml:space="preserve">https://www.nist.gov/chips/activate-berkeley</t>
  </si>
  <si>
    <t xml:space="preserve">Intelligent Epitaxy Technology, Inc. (IntelliEPI)</t>
  </si>
  <si>
    <t xml:space="preserve">-Indefinitely</t>
  </si>
  <si>
    <t xml:space="preserve">$4.12M</t>
  </si>
  <si>
    <t xml:space="preserve">New 30,000 sq ft wafer facility; triples output; ~$41M investment</t>
  </si>
  <si>
    <t xml:space="preserve">https://gov.texas.gov/news/post/governor-abbott-announces-texas-semiconductor-innovation-fund-grant-to-intelliepi#:~:text=Governor%20Greg%20Abbott%20today%20announced,the%20Texas%20Semiconductor%20Innovation%20Consortium</t>
  </si>
  <si>
    <t xml:space="preserve">Dongjin Semichem Texas, Inc. (DST)</t>
  </si>
  <si>
    <t xml:space="preserve">$2.40M</t>
  </si>
  <si>
    <t xml:space="preserve">First U.S. production of ultra-high-purity photoresist thinners; ~$110M investment</t>
  </si>
  <si>
    <t xml:space="preserve">https://gov.texas.gov/news/post/governor-abbott-announces-texas-semiconductor-innovation-fund-grant-to-dongjin-semichem-texas#:~:text=Governor%20Greg%20Abbott%20today%20announced,TSIC</t>
  </si>
  <si>
    <t xml:space="preserve">Silicon Laboratories, Inc. (Silicon Labs)</t>
  </si>
  <si>
    <t xml:space="preserve">$23.25M</t>
  </si>
  <si>
    <t xml:space="preserve">New chip design/testing lab with AI/ML integration; ~$80M investment</t>
  </si>
  <si>
    <t xml:space="preserve">https://gov.texas.gov/news/post/governor-abbott-announces-texas-semiconductor-innovation-fund-grant-to-silicon-labs#:~:text=Governor%20Greg%20Abbott%20today%20announced,80%20million%20in%20capital%20investment</t>
  </si>
  <si>
    <t xml:space="preserve">KoMiCo Technology, Inc.</t>
  </si>
  <si>
    <t xml:space="preserve">$2.00M</t>
  </si>
  <si>
    <t xml:space="preserve">Round Rock expansion (+40,000 sq ft) increasing cleanroom + production for sub-10nm tool services</t>
  </si>
  <si>
    <t xml:space="preserve">https://gov.texas.gov/news/post/governor-abbott-announces-texas-semiconductor-innovation-fund-grant-to-komico#:~:text=Governor%20Greg%20Abbott%20today%20announced,36%20million%20in%20capital%20investment</t>
  </si>
  <si>
    <t xml:space="preserve">SpaceX (Starlink Semiconductor Facility)</t>
  </si>
  <si>
    <t xml:space="preserve">$17.30M</t>
  </si>
  <si>
    <t xml:space="preserve">+1M sq ft advanced packaging &amp; electronic kit facility; ~$280M investment; largest PLP/PCB facility in North America</t>
  </si>
  <si>
    <t xml:space="preserve">https://gov.texas.gov/news/post/governor-abbott-announces-texas-semiconductor-innovation-fund-grant-to-spacex#:~:text=Governor%20Greg%20Abbott%20today%20announced,280%20million%20in%20capital%20investment</t>
  </si>
  <si>
    <t xml:space="preserve">DSM Semichem LLC</t>
  </si>
  <si>
    <t xml:space="preserve">$7.87M</t>
  </si>
  <si>
    <t xml:space="preserve">Expansion doubling output of high-purity sulfuric acid (ELSA); ~$176M investment</t>
  </si>
  <si>
    <t xml:space="preserve">https://gov.texas.gov/news/post/governor-abbott-announces-texas-semiconductor-innovation-fund-grant-to-dsm#:~:text=Governor%20Greg%20Abbott%20today%20announced,and%20creates%2040%20new%20jobs</t>
  </si>
  <si>
    <t xml:space="preserve">Tokyo Electron U.S. Holdings (TEL U.S.)</t>
  </si>
  <si>
    <t xml:space="preserve">$3.08M</t>
  </si>
  <si>
    <t xml:space="preserve">New R&amp;D &amp; technical training center using VR/AR; trains ~2,200 technicians per year</t>
  </si>
  <si>
    <t xml:space="preserve">https://gov.texas.gov/news/post/governor-abbott-announces-texas-semiconductor-innovation-fund-grant-to-tokyo-electron-u.s-holdings-inc#:~:text=Governor%20Greg%20Abbott%20today%20announced,30%20million%20in%20capital%20investment</t>
  </si>
  <si>
    <t xml:space="preserve">MGC Pure Chemicals America, Inc. (MPCA)</t>
  </si>
  <si>
    <t xml:space="preserve">$5.30M</t>
  </si>
  <si>
    <t xml:space="preserve">Expansion +130,000 sq ft to increase high-purity cleaning agents (H₂O₂, NH₄OH)</t>
  </si>
  <si>
    <t xml:space="preserve">https://gov.texas.gov/news/post/governor-abbott-announces-texas-semiconductor-innovation-grant-to-mgc-pure-chemicals-america-inc#:~:text=Governor%20Greg%20Abbott%20today%20announced,150%20million%20in%20capital%20investment</t>
  </si>
  <si>
    <t xml:space="preserve">Austin Community College District (ACC)</t>
  </si>
  <si>
    <t xml:space="preserve">$3.60M</t>
  </si>
  <si>
    <t xml:space="preserve">Semiconductor manufacturing lab + precision welding lab; Round Rock campus</t>
  </si>
  <si>
    <t xml:space="preserve">https://gov.texas.gov/news/post/governor-abbott-announces-texas-semiconductor-innovation-fund-grant-to-austin-community-college#:~:text=Governor%20Greg%20Abbott%20today%20announced,a%20Texas%20higher%20education%20institution</t>
  </si>
  <si>
    <t xml:space="preserve">Samsung Austin Semiconductor (Taylor Fab)</t>
  </si>
  <si>
    <t xml:space="preserve">$250.00M</t>
  </si>
  <si>
    <t xml:space="preserve">Support for Samsung’s Taylor 2-nm fab</t>
  </si>
  <si>
    <t xml:space="preserve">https://gov.texas.gov/news/post/governor-abbott-announces-texas-semiconductor-innovation-fund-grant-to-samsung-austin-semiconductor#:~:text=Governor%20Greg%20Abbott%20today%20announced,73%20billion%20in%20capital%20investment</t>
  </si>
  <si>
    <t xml:space="preserve">Yerico Manufacturing, Inc.</t>
  </si>
  <si>
    <t xml:space="preserve">$1.30M</t>
  </si>
  <si>
    <t xml:space="preserve">+50,000 sq ft facility expansion; +30 jobs; increases output of refurbished semiconductor tool parts</t>
  </si>
  <si>
    <t xml:space="preserve">https://gov.texas.gov/news/post/governor-abbott-announces-texas-semiconductor-innovation-fund-grant-to-yerico-manufacturing#:~:text=Governor%20Greg%20Abbott%20today%20announced,13%20million%20in%20capital%20investment</t>
  </si>
  <si>
    <t xml:space="preserve">National IC Industry Investment Fund (Big Fund I)</t>
  </si>
  <si>
    <t xml:space="preserve">SMIC</t>
  </si>
  <si>
    <t xml:space="preserve">¥2.7B</t>
  </si>
  <si>
    <t xml:space="preserve">11.54% stake; second-largest shareholder; expand advanced process capacity</t>
  </si>
  <si>
    <t xml:space="preserve">https://pdf.dfcfw.com/pdf/H3_AP201905051326608713_1.pdf?1557083214000.pdf#:~:text=%E6%9D%90%E6%96%99%202018,PECVD%2CALD</t>
  </si>
  <si>
    <t xml:space="preserve">Sanan Optoelectronics</t>
  </si>
  <si>
    <t xml:space="preserve">¥4.839B</t>
  </si>
  <si>
    <t xml:space="preserve">Fabrication; Compound; Photonicss</t>
  </si>
  <si>
    <t xml:space="preserve">Stakeholder investment; expand LED/compound production</t>
  </si>
  <si>
    <t xml:space="preserve">¥1.6B</t>
  </si>
  <si>
    <t xml:space="preserve">Fabrication; Photonicss; Compound</t>
  </si>
  <si>
    <t xml:space="preserve">Follow-up investment; optical comms &amp; compound semiconductors</t>
  </si>
  <si>
    <t xml:space="preserve">Silan Microelectronics</t>
  </si>
  <si>
    <t xml:space="preserve">¥600M</t>
  </si>
  <si>
    <t xml:space="preserve">Fabrication; Compound</t>
  </si>
  <si>
    <t xml:space="preserve">Build 8-inch wafer line for power devices</t>
  </si>
  <si>
    <t xml:space="preserve">YMTC</t>
  </si>
  <si>
    <t xml:space="preserve">¥18.9B</t>
  </si>
  <si>
    <t xml:space="preserve">JV with Tsinghua Unigroup for China's first 3D NAND fab</t>
  </si>
  <si>
    <t xml:space="preserve">SMIC Beijing</t>
  </si>
  <si>
    <t xml:space="preserve">¥4.3B</t>
  </si>
  <si>
    <t xml:space="preserve">Expand mature process &amp; NOR Flash lines</t>
  </si>
  <si>
    <t xml:space="preserve">Huali Microelectronics (HLMC)</t>
  </si>
  <si>
    <t xml:space="preserve">¥11.6B</t>
  </si>
  <si>
    <t xml:space="preserve">Phase II fab investment</t>
  </si>
  <si>
    <t xml:space="preserve">National Integrated Circuit Industry Industry Development Promotion Outline</t>
  </si>
  <si>
    <t xml:space="preserve">Navgnss (MEMS Fab)</t>
  </si>
  <si>
    <t xml:space="preserve">¥1.4B</t>
  </si>
  <si>
    <t xml:space="preserve">8-inch MEMS foundry for inertial navigation chips</t>
  </si>
  <si>
    <t xml:space="preserve">Silex (Sweden)</t>
  </si>
  <si>
    <t xml:space="preserve">Acquired 30% stake in Sweden’s Silex to secure MEMS foundry capacity</t>
  </si>
  <si>
    <t xml:space="preserve">¥6B</t>
  </si>
  <si>
    <t xml:space="preserve">Second capital injection</t>
  </si>
  <si>
    <t xml:space="preserve">SMIC South</t>
  </si>
  <si>
    <t xml:space="preserve">14nm advanced process fab</t>
  </si>
  <si>
    <t xml:space="preserve">Hua Hong Semiconductor</t>
  </si>
  <si>
    <t xml:space="preserve">¥2.6B</t>
  </si>
  <si>
    <t xml:space="preserve">Acquired 18.94% stake in specialty foundry</t>
  </si>
  <si>
    <t xml:space="preserve">Hua Hong Wuxi</t>
  </si>
  <si>
    <t xml:space="preserve">¥3.394B</t>
  </si>
  <si>
    <t xml:space="preserve">Cash injection for 12-inch specialty fab project</t>
  </si>
  <si>
    <t xml:space="preserve">SMIC Ningbo JV</t>
  </si>
  <si>
    <t xml:space="preserve">¥500M</t>
  </si>
  <si>
    <t xml:space="preserve">32.97% stake in SMIC JV</t>
  </si>
  <si>
    <t xml:space="preserve">SMIC (HK stock placement)</t>
  </si>
  <si>
    <t xml:space="preserve">¥1.071B</t>
  </si>
  <si>
    <t xml:space="preserve">Subscribed to HK issuance for fab expansion</t>
  </si>
  <si>
    <t xml:space="preserve">Beijing Yandong Microelectronics</t>
  </si>
  <si>
    <t xml:space="preserve">¥1B</t>
  </si>
  <si>
    <t xml:space="preserve">19.76% stake in Microelectronics Business</t>
  </si>
  <si>
    <t xml:space="preserve">¥13.5B</t>
  </si>
  <si>
    <t xml:space="preserve">Expand 3D NAND fab; 12.88% equity stake</t>
  </si>
  <si>
    <t xml:space="preserve">Tsinghua Unigroup</t>
  </si>
  <si>
    <t xml:space="preserve">¥10B</t>
  </si>
  <si>
    <t xml:space="preserve">Support M&amp;A for Spreadtrum, RDA; build domestic mobile IC ecosystem</t>
  </si>
  <si>
    <t xml:space="preserve">Ninestar Corp.</t>
  </si>
  <si>
    <t xml:space="preserve">Stake relating to Lexmark deal; expansion of printer chip business</t>
  </si>
  <si>
    <t xml:space="preserve">Nationalchip (Guoke Micro)</t>
  </si>
  <si>
    <t xml:space="preserve">¥400M</t>
  </si>
  <si>
    <t xml:space="preserve">Support domestic audio/video broadcasting and surveillance chip development</t>
  </si>
  <si>
    <t xml:space="preserve">BDStar Navigation</t>
  </si>
  <si>
    <t xml:space="preserve">¥1.5B</t>
  </si>
  <si>
    <t xml:space="preserve">Support R&amp;D of BeiDou GNSS and inertial navigation chips</t>
  </si>
  <si>
    <t xml:space="preserve">ZTE Microelectronics</t>
  </si>
  <si>
    <t xml:space="preserve">¥2.4B</t>
  </si>
  <si>
    <t xml:space="preserve">Support next-gen communication chip R&amp;D</t>
  </si>
  <si>
    <t xml:space="preserve">Unnamed U.S. Analog IC Company</t>
  </si>
  <si>
    <t xml:space="preserve">¥3.3B</t>
  </si>
  <si>
    <t xml:space="preserve">Cross-border acquisition of analog/mixed-signal design IP</t>
  </si>
  <si>
    <t xml:space="preserve">Centec Networks</t>
  </si>
  <si>
    <t xml:space="preserve">¥190M</t>
  </si>
  <si>
    <t xml:space="preserve">Design; Photonicss</t>
  </si>
  <si>
    <t xml:space="preserve">Startup investment in domestic switch-chip designer</t>
  </si>
  <si>
    <t xml:space="preserve">GigaDevice</t>
  </si>
  <si>
    <t xml:space="preserve">¥1.45B</t>
  </si>
  <si>
    <t xml:space="preserve">Design; Logic</t>
  </si>
  <si>
    <t xml:space="preserve">Expand NOR/NAND and microcontroller chip design</t>
  </si>
  <si>
    <t xml:space="preserve">Goodix Technology</t>
  </si>
  <si>
    <t xml:space="preserve">¥2.83B</t>
  </si>
  <si>
    <t xml:space="preserve">Human-machine interface &amp; biometric chip expansion</t>
  </si>
  <si>
    <t xml:space="preserve">Jingjia Micro</t>
  </si>
  <si>
    <t xml:space="preserve">¥1.17B</t>
  </si>
  <si>
    <t xml:space="preserve">Domestic GPU and military radar processing IC development</t>
  </si>
  <si>
    <t xml:space="preserve">Fuzhou Rockchip</t>
  </si>
  <si>
    <t xml:space="preserve">Not disclosed</t>
  </si>
  <si>
    <t xml:space="preserve">Support for IoT, AI processor design</t>
  </si>
  <si>
    <t xml:space="preserve">Chipone Microelectronics</t>
  </si>
  <si>
    <t xml:space="preserve">¥150M</t>
  </si>
  <si>
    <t xml:space="preserve">Design; Compound</t>
  </si>
  <si>
    <t xml:space="preserve">Support PMIC chip design expansion</t>
  </si>
  <si>
    <t xml:space="preserve">JCET (Jiangsu Changjiang Electronics)</t>
  </si>
  <si>
    <t xml:space="preserve">Acquisition / Equity</t>
  </si>
  <si>
    <t xml:space="preserve">¥2.031B</t>
  </si>
  <si>
    <t xml:space="preserve">Acquisition of STATS ChipPAC; elevating JCET to global top-tier OSAT</t>
  </si>
  <si>
    <t xml:space="preserve">Huatian Technology</t>
  </si>
  <si>
    <t xml:space="preserve">Capital injection to expand domestic OSAT operations</t>
  </si>
  <si>
    <t xml:space="preserve">SJ Semiconductor JV</t>
  </si>
  <si>
    <t xml:space="preserve">¥1.083B</t>
  </si>
  <si>
    <t xml:space="preserve">JV among SMIC, JCET, and Qualcomm; bumping/advanced packaging capacity</t>
  </si>
  <si>
    <t xml:space="preserve">TFME (Tongfu Microelectronics)</t>
  </si>
  <si>
    <t xml:space="preserve">¥1.8B</t>
  </si>
  <si>
    <t xml:space="preserve">Acquisition of AMD OSAT assets, expanding global footprint</t>
  </si>
  <si>
    <t xml:space="preserve">Jingfang Tech (WLCSP)</t>
  </si>
  <si>
    <t xml:space="preserve">¥680M</t>
  </si>
  <si>
    <t xml:space="preserve">Stake for expansion of wafer-level packaging operations</t>
  </si>
  <si>
    <t xml:space="preserve">TFME (Tongfu)</t>
  </si>
  <si>
    <t xml:space="preserve">¥969M</t>
  </si>
  <si>
    <t xml:space="preserve">Increased stake to 15.7%</t>
  </si>
  <si>
    <t xml:space="preserve">¥640M</t>
  </si>
  <si>
    <t xml:space="preserve">Additional stake, raising holding to 21.72%</t>
  </si>
  <si>
    <t xml:space="preserve">JCET</t>
  </si>
  <si>
    <t xml:space="preserve">¥2.9B</t>
  </si>
  <si>
    <t xml:space="preserve">Increased stake to 19% following STATS integration</t>
  </si>
  <si>
    <t xml:space="preserve">Taiji Industry</t>
  </si>
  <si>
    <t xml:space="preserve">¥949M</t>
  </si>
  <si>
    <t xml:space="preserve">Stake acquisition in semiconductor memory/testing business</t>
  </si>
  <si>
    <t xml:space="preserve">Xinhua Semiconductor</t>
  </si>
  <si>
    <t xml:space="preserve">JV with GCL Group for electronic-grade polysilicon production</t>
  </si>
  <si>
    <t xml:space="preserve">Shanghai Xinsheng Semiconductor</t>
  </si>
  <si>
    <t xml:space="preserve">¥309M</t>
  </si>
  <si>
    <t xml:space="preserve">12-inch wafer fab construction</t>
  </si>
  <si>
    <t xml:space="preserve">Anji Microelectronics</t>
  </si>
  <si>
    <t xml:space="preserve">¥5M</t>
  </si>
  <si>
    <t xml:space="preserve">R&amp;D and production of CMP slurry</t>
  </si>
  <si>
    <t xml:space="preserve">Darbond Technology</t>
  </si>
  <si>
    <t xml:space="preserve">¥22M</t>
  </si>
  <si>
    <t xml:space="preserve">High-performance thermal interface materials</t>
  </si>
  <si>
    <t xml:space="preserve">Jiangsu Yoke Technology</t>
  </si>
  <si>
    <t xml:space="preserve">¥550M</t>
  </si>
  <si>
    <t xml:space="preserve">Electronic gases and advanced deposition precursors</t>
  </si>
  <si>
    <t xml:space="preserve">Century Goldensun</t>
  </si>
  <si>
    <t xml:space="preserve">¥30M</t>
  </si>
  <si>
    <t xml:space="preserve">High-purity SiC material development</t>
  </si>
  <si>
    <t xml:space="preserve">AMEC (Advanced Micro-Fabrication Equipment Inc.)</t>
  </si>
  <si>
    <t xml:space="preserve">¥480M</t>
  </si>
  <si>
    <t xml:space="preserve">Etching equipment &amp; TSV process tool R&amp;D support</t>
  </si>
  <si>
    <t xml:space="preserve">Hangzhou ChangChuan Technology</t>
  </si>
  <si>
    <t xml:space="preserve">¥40M</t>
  </si>
  <si>
    <t xml:space="preserve">Stake in domestic IC testing equipment company</t>
  </si>
  <si>
    <t xml:space="preserve">Piotech Inc. (Shenyang)</t>
  </si>
  <si>
    <t xml:space="preserve">¥165M</t>
  </si>
  <si>
    <t xml:space="preserve">Support for domestic CVD/ALD deposition tool development</t>
  </si>
  <si>
    <t xml:space="preserve">NAURA (Sevenstar + North Micro JV)</t>
  </si>
  <si>
    <t xml:space="preserve">Support for merger creating major domestic equipment champion</t>
  </si>
  <si>
    <t xml:space="preserve">National IC Industry Investment Fund (Big Fund II)</t>
  </si>
  <si>
    <t xml:space="preserve">¥18B</t>
  </si>
  <si>
    <t xml:space="preserve">Expands national NAND memory fab capacity</t>
  </si>
  <si>
    <t xml:space="preserve">https://www.stcn.com/article/detail/806835.html?</t>
  </si>
  <si>
    <t xml:space="preserve">YMTC (HoldCo)</t>
  </si>
  <si>
    <t xml:space="preserve">¥12.9B</t>
  </si>
  <si>
    <t xml:space="preserve">Capital injection supporting YMTC strategic expansion</t>
  </si>
  <si>
    <t xml:space="preserve">ChangXin Memory</t>
  </si>
  <si>
    <t xml:space="preserve">¥14.56B</t>
  </si>
  <si>
    <t xml:space="preserve">Funds DRAM megaproject for domestic supply</t>
  </si>
  <si>
    <t xml:space="preserve">https://www.trendforce.com/news/2023/11/01/news-with-two-october-investments-big-fund-phase-ii-commits-nearly-19-billion-rmb/</t>
  </si>
  <si>
    <t xml:space="preserve">¥10.6B</t>
  </si>
  <si>
    <t xml:space="preserve">Builds 14nm FinFET production capacity domestically</t>
  </si>
  <si>
    <t xml:space="preserve">https://www1.hkexnews.hk/listedco/listconews/sehk/2020/0515/2020051502013.pdf</t>
  </si>
  <si>
    <t xml:space="preserve">SMIC Jingcheng</t>
  </si>
  <si>
    <t xml:space="preserve">¥8.5B</t>
  </si>
  <si>
    <t xml:space="preserve">Expands 28nm manufacturing capacity in Beijing</t>
  </si>
  <si>
    <t xml:space="preserve">https://www1.hkexnews.hk/listedco/listconews/sehk/2020/1204/2020120401701.pdf</t>
  </si>
  <si>
    <t xml:space="preserve">SMIC Dongfang</t>
  </si>
  <si>
    <t xml:space="preserve">¥5.7B</t>
  </si>
  <si>
    <t xml:space="preserve">Supports new Lingang 12-inch foundry project</t>
  </si>
  <si>
    <t xml:space="preserve">https://www1.hkexnews.hk/listedco/listconews/sehk/2021/1112/2021111200355.pdf</t>
  </si>
  <si>
    <t xml:space="preserve">Grows specialty semiconductor manufacturing in Wuxi</t>
  </si>
  <si>
    <t xml:space="preserve">https://www1.hkexnews.hk/listedco/listconews/sehk/2022/0809/2022080900029.pdf</t>
  </si>
  <si>
    <t xml:space="preserve">Huali Microelectronics</t>
  </si>
  <si>
    <t xml:space="preserve">¥7B</t>
  </si>
  <si>
    <t xml:space="preserve">Advances leading-edge logic fab development domestically</t>
  </si>
  <si>
    <t xml:space="preserve">https://www.design-reuse-embedded.com/news/202312027/china-s-big-fund-is-investing-1-billion-in-another-domestic-foundry-to-advance-sub-10nm-chip-manufacturing/</t>
  </si>
  <si>
    <t xml:space="preserve">Hua Hong Chengdu</t>
  </si>
  <si>
    <t xml:space="preserve">¥3.6B</t>
  </si>
  <si>
    <t xml:space="preserve">Revives Chengdu fab for local production</t>
  </si>
  <si>
    <t xml:space="preserve">https://www.eet-china.com/mp/a274579.html</t>
  </si>
  <si>
    <t xml:space="preserve">Chongqing Xinlian Micro</t>
  </si>
  <si>
    <t xml:space="preserve">¥2.155B</t>
  </si>
  <si>
    <t xml:space="preserve">Builds auto-focused specialty logic capacity regionally</t>
  </si>
  <si>
    <t xml:space="preserve">https://www.trendforce.com/news/2024/07/19/news-chinabig-fund-phase-ii-invested-in-a-fab-and-a-silicon-material-fab/</t>
  </si>
  <si>
    <t xml:space="preserve">Fuxin Semiconductor</t>
  </si>
  <si>
    <t xml:space="preserve">¥2.95B</t>
  </si>
  <si>
    <t xml:space="preserve">Establishes analog and power IDM facility</t>
  </si>
  <si>
    <t xml:space="preserve">https://m.cls.cn/detail/976237</t>
  </si>
  <si>
    <t xml:space="preserve">AMEC</t>
  </si>
  <si>
    <t xml:space="preserve">¥2.5B</t>
  </si>
  <si>
    <t xml:space="preserve">R&amp;D; WFE</t>
  </si>
  <si>
    <t xml:space="preserve">Expands domestic plasma etching tool production</t>
  </si>
  <si>
    <t xml:space="preserve">https://www.yicaiglobal.com/news/amec-soars-13-after-chinese-chip-gear-maker-bags-usd127-billion-in-private-placement-</t>
  </si>
  <si>
    <t xml:space="preserve">NAURA</t>
  </si>
  <si>
    <t xml:space="preserve">Strengthens national semiconductor equipment ecosystem capabilities</t>
  </si>
  <si>
    <t xml:space="preserve">https://www.yicaiglobal.com/news/chinese-chip-kit-maker-naura-closes-usd13-bln-private-placement-led-by-national-ic-fund</t>
  </si>
  <si>
    <t xml:space="preserve">Silan Jike</t>
  </si>
  <si>
    <t xml:space="preserve">Expands power IC 12-inch fabrication capacity</t>
  </si>
  <si>
    <t xml:space="preserve">https://www.stcn.com/article/detail/962281.html</t>
  </si>
  <si>
    <t xml:space="preserve">Silan Mingjia</t>
  </si>
  <si>
    <t xml:space="preserve">¥350M</t>
  </si>
  <si>
    <t xml:space="preserve">Advances GaN and SiC device production</t>
  </si>
  <si>
    <t xml:space="preserve">https://www.yicaiglobal.com/news/china-silan-soars-as-big-fund-phase-ii-plans-to-invest-usd95-million-in-its-chip-project</t>
  </si>
  <si>
    <t xml:space="preserve">Runxi Microelectronics</t>
  </si>
  <si>
    <t xml:space="preserve">¥1.65B</t>
  </si>
  <si>
    <t xml:space="preserve">Builds 12-inch automotive power foundry capacity</t>
  </si>
  <si>
    <t xml:space="preserve">https://www.trendforce.com/news/2021/07/13/an-overview-of-ic-design-and-equipment-suppliers-funded-by-chinas-big-fund-phase-two/</t>
  </si>
  <si>
    <t xml:space="preserve">Shennan Circuits</t>
  </si>
  <si>
    <t xml:space="preserve">¥300M</t>
  </si>
  <si>
    <t xml:space="preserve">Supports advanced IC packaging substrate lines</t>
  </si>
  <si>
    <t xml:space="preserve">https://www.yicaiglobal.com/news/shennan-circuits-gains-on-usd401-million-private-placement-led-by-huatai-big-fund-phase-ii</t>
  </si>
  <si>
    <t xml:space="preserve">Funds telecom chip R&amp;D and production</t>
  </si>
  <si>
    <t xml:space="preserve">https://www.zte.com.cn/content/dam/zte-site/investorrelations/en_announcement/e7904e4f6ee6f6ddbe02a35bf91fc6b1.pdf</t>
  </si>
  <si>
    <t xml:space="preserve">Unisoc</t>
  </si>
  <si>
    <t xml:space="preserve">¥2.25B</t>
  </si>
  <si>
    <t xml:space="preserve">Supports expansion of mobile chipset design</t>
  </si>
  <si>
    <t xml:space="preserve">https://equalocean.com/news/2020031713782</t>
  </si>
  <si>
    <t xml:space="preserve">Zhiwei Semiconductor</t>
  </si>
  <si>
    <t xml:space="preserve">¥~100M</t>
  </si>
  <si>
    <t xml:space="preserve">Expands domestic wet-clean equipment capacity significantly</t>
  </si>
  <si>
    <t xml:space="preserve">https://m.21jingji.com/article/20211019/herald/2a06894ffd5b4e79bf9cab14e49f7e19_zaker.html</t>
  </si>
  <si>
    <t xml:space="preserve">Sinsong Semiconductor</t>
  </si>
  <si>
    <t xml:space="preserve">¥~80M</t>
  </si>
  <si>
    <t xml:space="preserve">Builds robotics-based semiconductor automation systems infrastructure</t>
  </si>
  <si>
    <t xml:space="preserve">https://news.futunn.com/en/post/42251754/400-million-big-fund-phase-ii-beijing-integrated-circuit-m?level=1&amp;data_ticket=1764532183135816</t>
  </si>
  <si>
    <t xml:space="preserve">JCET Automotive Electronics</t>
  </si>
  <si>
    <t xml:space="preserve">¥~4B</t>
  </si>
  <si>
    <t xml:space="preserve">Funds auto-chip packaging and testing expansion</t>
  </si>
  <si>
    <t xml:space="preserve">Hua Hong Semiconductor (STAR IPO)</t>
  </si>
  <si>
    <t xml:space="preserve">¥≤30B</t>
  </si>
  <si>
    <t xml:space="preserve">Strategic investment for Sci-Tech IPO subscription</t>
  </si>
  <si>
    <t xml:space="preserve">Hua Hong / HHGrace Joint Venture</t>
  </si>
  <si>
    <t xml:space="preserve">¥8.2B</t>
  </si>
  <si>
    <t xml:space="preserve">Supports 12-inch fab joint-venture development</t>
  </si>
  <si>
    <t xml:space="preserve">https://www.trendforce.com/news/2023/11/01/news-with-two-october-investments-big-fund-phase-ii-commits-nearly-19-billion-rmb/; https://www1.hkexnews.hk/listedco/listconews/sehk/2023/0118/2023011800483.pdf</t>
  </si>
  <si>
    <t xml:space="preserve">Xiamen Silan Advanced Compound Semiconductor</t>
  </si>
  <si>
    <t xml:space="preserve">¥1.2B</t>
  </si>
  <si>
    <t xml:space="preserve">Invests in 6-inch SiC device production</t>
  </si>
  <si>
    <t xml:space="preserve">Runpeng Semiconductor (CR Micro subsidiary)</t>
  </si>
  <si>
    <t xml:space="preserve">¥3.75B</t>
  </si>
  <si>
    <t xml:space="preserve">Expands power-semiconductor fab capacity significantly</t>
  </si>
  <si>
    <t xml:space="preserve">National IC Industry Investment Fund (Big Fund III)</t>
  </si>
  <si>
    <t xml:space="preserve">TuoJing JianKe (Haining) Semiconductor Equipment Co., Ltd.</t>
  </si>
  <si>
    <t xml:space="preserve">¥450M</t>
  </si>
  <si>
    <t xml:space="preserve">Invests in 3D integration equipment developer</t>
  </si>
  <si>
    <t xml:space="preserve">https://www.trendforce.com/news/2025/10/31/... 12</t>
  </si>
  <si>
    <t xml:space="preserve">Nantong Crystal Co., Ltd. (synthetic quartz materials)</t>
  </si>
  <si>
    <t xml:space="preserve">¥100M</t>
  </si>
  <si>
    <t xml:space="preserve">Equity stake in photomask quartz material firm</t>
  </si>
  <si>
    <t xml:space="preserve">https://www.trendforce.com/news/2025/11/05/... 11</t>
  </si>
  <si>
    <t xml:space="preserve">Subsidies for Chip Design Projects</t>
  </si>
  <si>
    <t xml:space="preserve">NT$1.3B</t>
  </si>
  <si>
    <t xml:space="preserve">Subsidy for 28 IC design businesses / startups</t>
  </si>
  <si>
    <t xml:space="preserve">https://www.taiwannews.com.tw/news/6251837</t>
  </si>
  <si>
    <t xml:space="preserve">Kioxia &amp; Western Digital – 3D NAND flash expansion</t>
  </si>
  <si>
    <t xml:space="preserve">2022-2023</t>
  </si>
  <si>
    <t xml:space="preserve">¥92.9B</t>
  </si>
  <si>
    <t xml:space="preserve">Subsidy for 3D NAND flash memory fab expansion (Yokkaichi plant)</t>
  </si>
  <si>
    <t xml:space="preserve">Kioxia &amp; Western Digital – 3D NAND flash (additional)</t>
  </si>
  <si>
    <t xml:space="preserve">¥150B</t>
  </si>
  <si>
    <t xml:space="preserve">Second subsidy for Kioxia/WD to boost 3D NAND flash production (e.g. new fab)</t>
  </si>
  <si>
    <t xml:space="preserve">Rohm &amp; Toshiba – SiC and silicon power semiconductors</t>
  </si>
  <si>
    <t xml:space="preserve">¥129.4B</t>
  </si>
  <si>
    <t xml:space="preserve">Dual fabs, 10-year ops rule</t>
  </si>
  <si>
    <t xml:space="preserve">https://www.digitimes.com/news/a20241202PD206/sic-fuji-electric-denso-production-subsidy.html#:~:text=Partnership%20targets%20EV%20market%20expansion; https://www.argusmedia.com/ja/news-and-insights/latest-market-news/2517179-japan-grants-subsidies-to-secure-semiconductor-supplies</t>
  </si>
  <si>
    <t xml:space="preserve">Denso &amp; Fuji Electric – SiC power semiconductor JV</t>
  </si>
  <si>
    <t xml:space="preserve">¥70.5B</t>
  </si>
  <si>
    <t xml:space="preserve">EV-focused joint chip fab</t>
  </si>
  <si>
    <t xml:space="preserve">https://www.digitimes.com/news/a20241202PD206/sic-fuji-electric-denso-production-subsidy.html#:~:text=Partnership%20targets%20EV%20market%20expansion</t>
  </si>
  <si>
    <t xml:space="preserve">Toyo Gosei – Photoresist &amp; high-purity solvent production</t>
  </si>
  <si>
    <t xml:space="preserve">Boost domestic materials supply</t>
  </si>
  <si>
    <t xml:space="preserve">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</si>
  <si>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 xml:space="preserve">Murata Manufacturing – BAW RF filters</t>
  </si>
  <si>
    <t xml:space="preserve">¥5.4B</t>
  </si>
  <si>
    <t xml:space="preserve">Expand RF filter capacity</t>
  </si>
  <si>
    <t xml:space="preserve">Rapidus Grant One</t>
  </si>
  <si>
    <t xml:space="preserve">¥590B</t>
  </si>
  <si>
    <t xml:space="preserve">R&amp;D; Fabrication; APT</t>
  </si>
  <si>
    <t xml:space="preserve">R&amp;D; additional fab; packaging</t>
  </si>
  <si>
    <t xml:space="preserve">http://reuters.com/technology/japan-approves-39-billion-subsidies-chipmaker-rapidus-2024-04-02/#:~:text=TOKYO%2C%20April%202%20%28Reuters%29%20,the%20country%27s%20chip%20manufacturing%20base</t>
  </si>
  <si>
    <t xml:space="preserve">Micron Hiroshima DRAM Fab Investment 1</t>
  </si>
  <si>
    <t xml:space="preserve">¥46.5B</t>
  </si>
  <si>
    <t xml:space="preserve">Subsidy for advcanced DRAM Investment</t>
  </si>
  <si>
    <t xml:space="preserve">https://www.meti.go.jp/english/policy/0704_001.pdf#:~:text=%E2%9C%93Advanced%203D%20NAND%20Flash%20Memory,1%CE%B2%29%20Investment</t>
  </si>
  <si>
    <t xml:space="preserve">Micron Hiroshima EUV DRAM Fab Investment</t>
  </si>
  <si>
    <t xml:space="preserve">¥167B</t>
  </si>
  <si>
    <t xml:space="preserve">Subsidy for advanced DRAM fab including EUV lithography</t>
  </si>
  <si>
    <t xml:space="preserve">EdgeCortix Post 5-G Communication Systems</t>
  </si>
  <si>
    <t xml:space="preserve">¥4B</t>
  </si>
  <si>
    <t xml:space="preserve">R&amp;D; Compound</t>
  </si>
  <si>
    <t xml:space="preserve">Subsidy for energy-efficient AI connectivity chiplets</t>
  </si>
  <si>
    <t xml:space="preserve">https://www.edgecortix.com/en/press-releases/edgecortix-receives-4-billion-yen-subsidy-from-japans-nedo#:~:text=Tokyo%2C%20Japan%20,communications%20with%20unprecedented%20energy%20efficiency</t>
  </si>
  <si>
    <t xml:space="preserve">Rebellion Grant</t>
  </si>
  <si>
    <t xml:space="preserve">2023</t>
  </si>
  <si>
    <t xml:space="preserve">₩10B</t>
  </si>
  <si>
    <t xml:space="preserve">Grant to NVIDIA competitor startup</t>
  </si>
  <si>
    <t xml:space="preserve">https://www.reuters.com/technology/skorea-aims-join-ai-race-startup-rebellions-launches-new-chip-2023-02-12/#:~:text=%22Amid%20high%20dependence%20on%20foreign,from%20the%20South%20Korean%20government.&amp;text=Reports%20on%20global%20trends%20in,goal%20of%20grasping%20quantum%20physics.</t>
  </si>
  <si>
    <t xml:space="preserve">SK Hynix Yongin Cluster</t>
  </si>
  <si>
    <t xml:space="preserve">Loan</t>
  </si>
  <si>
    <t xml:space="preserve">₩4.3T</t>
  </si>
  <si>
    <t xml:space="preserve">Semiconductor fabrication cluster in Yongin</t>
  </si>
  <si>
    <t xml:space="preserve">https://koreatechdesk.com/korea-national-growth-fund-sk-hynix-semiconductor-cluster-yongin#:~:text=tranches</t>
  </si>
  <si>
    <t xml:space="preserve">STMicroelectronics Recovery Subsidy</t>
  </si>
  <si>
    <t xml:space="preserve">2022-2026</t>
  </si>
  <si>
    <t xml:space="preserve">€292.5M</t>
  </si>
  <si>
    <t xml:space="preserve">Integrated SiC substrate Fab</t>
  </si>
  <si>
    <t xml:space="preserve">https://ec.europa.eu/commission/presscorner/api/files/document/print/en/ip_22_5970/IP_22_5970_EN.pdf?</t>
  </si>
  <si>
    <t xml:space="preserve">Silicon Box - APT facility</t>
  </si>
  <si>
    <t xml:space="preserve">€1.3B</t>
  </si>
  <si>
    <t xml:space="preserve">Advanced packaging facility in Italy</t>
  </si>
  <si>
    <t xml:space="preserve">https://ec.europa.eu/commission/presscorner/api/files/document/print/en/ip_24_6436/IP_24_6436_EN.pdf</t>
  </si>
  <si>
    <t xml:space="preserve">Infineon Dresden</t>
  </si>
  <si>
    <t xml:space="preserve">€920M</t>
  </si>
  <si>
    <t xml:space="preserve">200 &amp; 300 mm Fab</t>
  </si>
  <si>
    <t xml:space="preserve">https://www.infineon.com/press-release/2025/infxx202502-058</t>
  </si>
  <si>
    <t xml:space="preserve">ams Osram Wafer Manufacturing</t>
  </si>
  <si>
    <t xml:space="preserve">€227M</t>
  </si>
  <si>
    <t xml:space="preserve">Wafer manufacturing facility in Premstatten</t>
  </si>
  <si>
    <t xml:space="preserve">https://ec.europa.eu/commission/presscorner/api/files/document/print/et/ip_25_589/IP_25_589_EN.pdf</t>
  </si>
  <si>
    <t xml:space="preserve">Onsemi SiC Facility Expansion</t>
  </si>
  <si>
    <t xml:space="preserve">Czechia</t>
  </si>
  <si>
    <t xml:space="preserve">€450M</t>
  </si>
  <si>
    <t xml:space="preserve">SiC power devices facility</t>
  </si>
  <si>
    <t xml:space="preserve">https://ec.europa.eu/commission/presscorner/detail/de/ip_25_2757</t>
  </si>
  <si>
    <t xml:space="preserve">GlobalFoundries Dresden</t>
  </si>
  <si>
    <t xml:space="preserve">€495M</t>
  </si>
  <si>
    <t xml:space="preserve">300mm fabrication facility</t>
  </si>
  <si>
    <t xml:space="preserve">https://europa.eu/newsroom/ecpc-failover/pdf/ip-25-3020_en.pdf</t>
  </si>
  <si>
    <t xml:space="preserve">X-FAB Erfurt</t>
  </si>
  <si>
    <t xml:space="preserve">€128M</t>
  </si>
  <si>
    <t xml:space="preserve">Open foundry for enterprises</t>
  </si>
  <si>
    <t xml:space="preserve">IPCEI on Microelectronics (First IPCEI)</t>
  </si>
  <si>
    <t xml:space="preserve">German Federal aid (BMWi) – GlobalFoundries Dresden</t>
  </si>
  <si>
    <t xml:space="preserve">2018-2024</t>
  </si>
  <si>
    <t xml:space="preserve">~€325M</t>
  </si>
  <si>
    <t xml:space="preserve">FD-SOI/RF 300mm R&amp;D Dresden fab</t>
  </si>
  <si>
    <t xml:space="preserve">https://ec.europa.eu/competition/state_aid/cases1/201952/277354_2120329_283_2.pdf#:~:text=%28a%29%20CEA,Information%20and%20Communication%20Technology%2C%20Advanced</t>
  </si>
  <si>
    <t xml:space="preserve">German Federal aid (BMWi) – Infineon Germany</t>
  </si>
  <si>
    <t xml:space="preserve">~€160M</t>
  </si>
  <si>
    <t xml:space="preserve">300mm power fab; GaN RF R&amp;D</t>
  </si>
  <si>
    <t xml:space="preserve">Austria nat’l aid (BMK/BMDW) – Infineon Austria</t>
  </si>
  <si>
    <t xml:space="preserve">Austria</t>
  </si>
  <si>
    <t xml:space="preserve">(part of €146.5M AT package)</t>
  </si>
  <si>
    <t xml:space="preserve">Villach 300mm power fab expansion</t>
  </si>
  <si>
    <t xml:space="preserve">German Federal aid (BMWi) – Bosch Germany</t>
  </si>
  <si>
    <t xml:space="preserve">~€252M</t>
  </si>
  <si>
    <t xml:space="preserve">Dresden sensors fab; MEMS/imagers R&amp;D</t>
  </si>
  <si>
    <t xml:space="preserve">German Federal aid (BMWi) – X-FAB Germany</t>
  </si>
  <si>
    <t xml:space="preserve">~€100M</t>
  </si>
  <si>
    <t xml:space="preserve">Erfurt analog foundry upgrades; SiC/GaN</t>
  </si>
  <si>
    <t xml:space="preserve">French nat’l aid (DGE) – X-FAB France</t>
  </si>
  <si>
    <t xml:space="preserve">(part of FR package)</t>
  </si>
  <si>
    <t xml:space="preserve">Corbeil 200mm specialty analog/MEMS automotive</t>
  </si>
  <si>
    <t xml:space="preserve">German Federal aid (BMWi) – Carl Zeiss AG</t>
  </si>
  <si>
    <t xml:space="preserve">~€90M</t>
  </si>
  <si>
    <t xml:space="preserve">WFE; R&amp;D</t>
  </si>
  <si>
    <t xml:space="preserve">High-NA EUV lithography optics development</t>
  </si>
  <si>
    <t xml:space="preserve">German Federal aid (BMWi) – AMTC Dresden</t>
  </si>
  <si>
    <t xml:space="preserve">~€60M</t>
  </si>
  <si>
    <t xml:space="preserve">Materials; R&amp;D</t>
  </si>
  <si>
    <t xml:space="preserve">EUV mask tech via AMTC Dresden</t>
  </si>
  <si>
    <t xml:space="preserve">French nat’l aid – STMicroelectronics France</t>
  </si>
  <si>
    <t xml:space="preserve">MEMS/imaging mixed-signal R&amp;D Crolles/Grenoble</t>
  </si>
  <si>
    <t xml:space="preserve">Italian nat’l aid – STMicroelectronics Italy</t>
  </si>
  <si>
    <t xml:space="preserve">(part of IT package)</t>
  </si>
  <si>
    <t xml:space="preserve">Agrate 300mm power/analog; sensors R&amp;D</t>
  </si>
  <si>
    <t xml:space="preserve">UK national aid – IQE plc</t>
  </si>
  <si>
    <t xml:space="preserve">(part of UK package)</t>
  </si>
  <si>
    <t xml:space="preserve">Materials; Fabrication</t>
  </si>
  <si>
    <t xml:space="preserve">Compound epi-wafer production South Wales</t>
  </si>
  <si>
    <t xml:space="preserve">UK national aid – Integrated Compound Semiconductors</t>
  </si>
  <si>
    <t xml:space="preserve">RF/optical compound devices South Wales</t>
  </si>
  <si>
    <t xml:space="preserve">UK national aid – Newport Wafer Fab</t>
  </si>
  <si>
    <t xml:space="preserve">Open-access 200mm silicon/compound fab Newport</t>
  </si>
  <si>
    <t xml:space="preserve">UK national aid – SPTS Technologies</t>
  </si>
  <si>
    <t xml:space="preserve">Etch/PVD/CVD tools for compound fabs</t>
  </si>
  <si>
    <t xml:space="preserve">French nat’l aid – Lynred</t>
  </si>
  <si>
    <t xml:space="preserve">Infrared detectors for defense/space/auto</t>
  </si>
  <si>
    <t xml:space="preserve">German Federal aid (BMWi) – TDK-Micronas</t>
  </si>
  <si>
    <t xml:space="preserve">~€20M</t>
  </si>
  <si>
    <t xml:space="preserve">Hall/magnetic sensors for automotive/industrial</t>
  </si>
  <si>
    <t xml:space="preserve">German Federal aid (BMBF) – CorTec GmbH</t>
  </si>
  <si>
    <t xml:space="preserve">~€3.6M</t>
  </si>
  <si>
    <t xml:space="preserve">MEMS neural implant arrays; Freiburg cleanroom</t>
  </si>
  <si>
    <t xml:space="preserve">German Federal aid (BMBF) – Cologne Chip AG</t>
  </si>
  <si>
    <t xml:space="preserve">~€1–2M</t>
  </si>
  <si>
    <t xml:space="preserve">European FPGA development; telecom IP cores</t>
  </si>
  <si>
    <t xml:space="preserve">German Federal aid (BMBF) – Racyics GmbH</t>
  </si>
  <si>
    <t xml:space="preserve">SoC/IP services for ultra-low-power chips</t>
  </si>
  <si>
    <t xml:space="preserve">German Federal aid (BMWi) – SEMIKRON</t>
  </si>
  <si>
    <t xml:space="preserve">Power modules for EV inverters/industrial drives</t>
  </si>
  <si>
    <t xml:space="preserve">French nat’l aid – Soitec SA</t>
  </si>
  <si>
    <t xml:space="preserve">SOI/GaN-on-Si substrates for lower power</t>
  </si>
  <si>
    <t xml:space="preserve">French nat’l support – CEA-Leti</t>
  </si>
  <si>
    <t xml:space="preserve">n/a</t>
  </si>
  <si>
    <t xml:space="preserve">Cross-cutting applied research across workstreams</t>
  </si>
  <si>
    <t xml:space="preserve">Italian nat’l support – FBK</t>
  </si>
  <si>
    <t xml:space="preserve">MEMS/materials characterization support Trento</t>
  </si>
  <si>
    <t xml:space="preserve">IPCEI on Microelectronics &amp; Communication Technologies (Second IPCEI)</t>
  </si>
  <si>
    <t xml:space="preserve">Dutch national aid (EZK) – ASML</t>
  </si>
  <si>
    <t xml:space="preserve">Undisclosed</t>
  </si>
  <si>
    <t xml:space="preserve">High-NA EUV scanner R&amp;D for sub-2nm</t>
  </si>
  <si>
    <t xml:space="preserve">https://ec.europa.eu/competition/state_aid/cases1/202417/SA_101129_A0FF058F-0100-C611-9E6D-800FDA995039_1165_1.pdf#:~:text=1.%20AT%26S%20,50%20%E2%80%93%2060</t>
  </si>
  <si>
    <t xml:space="preserve">French nat’l aid – Airbus</t>
  </si>
  <si>
    <t xml:space="preserve">Secure comms/radar/space chips R&amp;D</t>
  </si>
  <si>
    <t xml:space="preserve">German Fed. aid (BMWK) – Ericsson Antenna Tech</t>
  </si>
  <si>
    <t xml:space="preserve">2023-2028</t>
  </si>
  <si>
    <t xml:space="preserve">6G Massive-MIMO antenna microelectronics R&amp;D</t>
  </si>
  <si>
    <t xml:space="preserve">German Fed. aid (BMWK) – Nokia Bell Labs Germany</t>
  </si>
  <si>
    <t xml:space="preserve">part of €360M project</t>
  </si>
  <si>
    <t xml:space="preserve">HW/SW/SoC co-design for 5G-A/6G</t>
  </si>
  <si>
    <t xml:space="preserve">German Fed. aid (BMWK) – Wacker Chemie</t>
  </si>
  <si>
    <t xml:space="preserve">Wafer-grade polysilicon line; €300M investment</t>
  </si>
  <si>
    <t xml:space="preserve">German Fed. aid (BMWK) – Bosch</t>
  </si>
  <si>
    <t xml:space="preserve">Compound; R&amp;D</t>
  </si>
  <si>
    <t xml:space="preserve">SiC, radar, automotive IC R&amp;D</t>
  </si>
  <si>
    <t xml:space="preserve">French nat’l aid – Renault Group</t>
  </si>
  <si>
    <t xml:space="preserve">In-house auto chips for EV/ADAS</t>
  </si>
  <si>
    <t xml:space="preserve">French nat’l aid – Orange</t>
  </si>
  <si>
    <t xml:space="preserve">Open RAN/6G integration; operator use-cases</t>
  </si>
  <si>
    <t xml:space="preserve">German/Bavarian aid – ESMC Dresden JV</t>
  </si>
  <si>
    <t xml:space="preserve">TSMC-Bosch-Infineon-NXP Dresden 300mm fab</t>
  </si>
  <si>
    <t xml:space="preserve">Austrian nat’l aid (BMK/BMAW) – NXP Austria (Think)</t>
  </si>
  <si>
    <t xml:space="preserve">share of €175M AT</t>
  </si>
  <si>
    <t xml:space="preserve">Secure RISC-V, PQC; safe EV BMS</t>
  </si>
  <si>
    <t xml:space="preserve">Austrian nat’l aid (BMK/BMAW) – NXP Austria (Sense)</t>
  </si>
  <si>
    <t xml:space="preserve">UWB radar, sensor fusion for ADAS/IoT</t>
  </si>
  <si>
    <t xml:space="preserve">Austrian nat’l aid (BMK/BMAW) – AVL List</t>
  </si>
  <si>
    <t xml:space="preserve">~€50M</t>
  </si>
  <si>
    <t xml:space="preserve">Chip test tools for EV sensors/power</t>
  </si>
  <si>
    <t xml:space="preserve">Slovak nat’l aid – Tachyum</t>
  </si>
  <si>
    <t xml:space="preserve">€26.4M</t>
  </si>
  <si>
    <t xml:space="preserve">Prodigy 2 universal processor; 3nm target</t>
  </si>
  <si>
    <t xml:space="preserve">Auto MCUs + SiC/GaN power R&amp;D</t>
  </si>
  <si>
    <t xml:space="preserve">French nat’l aid – Soitec</t>
  </si>
  <si>
    <t xml:space="preserve">New SOI/piezo substrates for 5G/6G</t>
  </si>
  <si>
    <t xml:space="preserve">German Fed. aid (BMWK) – Continental Automotive</t>
  </si>
  <si>
    <t xml:space="preserve">Power modules/sensors for EV/autonomy</t>
  </si>
  <si>
    <t xml:space="preserve">Czech nat’l aid – Mycroft Mind</t>
  </si>
  <si>
    <t xml:space="preserve">AI-enhanced sensor systems; Czech SME</t>
  </si>
  <si>
    <t xml:space="preserve">Czech nat’l aid – TES (TBD)</t>
  </si>
  <si>
    <t xml:space="preserve">N/A</t>
  </si>
  <si>
    <t xml:space="preserve">Second CZ participant; details not public</t>
  </si>
  <si>
    <t xml:space="preserve">Irish nat’l aid (IDA) – Analog Devices Ireland</t>
  </si>
  <si>
    <t xml:space="preserve">Ireland</t>
  </si>
  <si>
    <t xml:space="preserve">est. ~€100M</t>
  </si>
  <si>
    <t xml:space="preserve">Limerick automation modules for analog/mixed-signal</t>
  </si>
  <si>
    <t xml:space="preserve">Finnish nat’l aid – VTT / Nokia (beneficiary TBD)</t>
  </si>
  <si>
    <t xml:space="preserve">Finland</t>
  </si>
  <si>
    <t xml:space="preserve">Likely 6G + quantum R&amp;D project</t>
  </si>
  <si>
    <t xml:space="preserve">Romanian nat’l aid – NXP Romania</t>
  </si>
  <si>
    <t xml:space="preserve">Romania</t>
  </si>
  <si>
    <t xml:space="preserve">Bucharest design expansion; secure IIoT/edge</t>
  </si>
  <si>
    <t xml:space="preserve">Greek nat’l aid – Think Silicon (likely)</t>
  </si>
  <si>
    <t xml:space="preserve">Greece</t>
  </si>
  <si>
    <t xml:space="preserve">Likely low-power GPU IP R&amp;D Patras</t>
  </si>
  <si>
    <t xml:space="preserve">French/German nat’l aid – TRUMPF &amp; partners (likely)</t>
  </si>
  <si>
    <t xml:space="preserve">Germany/France</t>
  </si>
  <si>
    <t xml:space="preserve">Laser light-source tech supporting EUV roadmap</t>
  </si>
  <si>
    <t xml:space="preserve">France 2030 (PIIEC microélectronique) – 12 consortia</t>
  </si>
  <si>
    <t xml:space="preserve">Compound</t>
  </si>
  <si>
    <t xml:space="preserve">12 consortia across chips, sensors, 5G/6G</t>
  </si>
  <si>
    <t xml:space="preserve">https://presse.economie.gouv.fr/08062023-cp-france-2030-12-projets-francais-structurants-en-microelectronique-et-connectivite-ont-ete-valides-par-la-commission-europeenne/#:~:text=Port%C3%A9s%20par%20Airbus%2C%20Aledia%2C%20Continental%2C,solutions%20pour%20les%20communications%20critiques</t>
  </si>
  <si>
    <t xml:space="preserve">STMicroelectronics &amp; GlobalFoundries</t>
  </si>
  <si>
    <t xml:space="preserve">Crolles 300mm fab for FD-SOI chips</t>
  </si>
  <si>
    <t xml:space="preserve">https://presse.economie.gouv.fr/05062023-bruno-le-maire-annonce-le-debut-de-la-production-de-la-mega-usine-de-semi-conducteurs-portee-par-globalfoundries-et-stmicroelectronics-a-crolles-et-signe-le-contrat-daide-de-letat-au-projet/#:~:text=L%E2%80%99investissement%20total%20de%20ce%20projet%2C,sera%20rembours%C3%A9e%20aux%20autorit%C3%A9s%20publiques</t>
  </si>
  <si>
    <t xml:space="preserve">Soitec (+CEA)</t>
  </si>
  <si>
    <t xml:space="preserve">~€120M</t>
  </si>
  <si>
    <t xml:space="preserve">SmartSiC SiC substrate fab; power electronics</t>
  </si>
  <si>
    <t xml:space="preserve">https://www.eetimes.com/soitecs-smartsic-to-hit-the-road-in-2024/#:~:text=Only%20four%20years%20will%20have,press%20conference%20before%20the%20ceremony.</t>
  </si>
  <si>
    <t xml:space="preserve">Renatech &amp; CEA-Leti</t>
  </si>
  <si>
    <t xml:space="preserve">€39M</t>
  </si>
  <si>
    <t xml:space="preserve">Cleanroom tools upgrades; PNFC lab equipment</t>
  </si>
  <si>
    <t xml:space="preserve">https://www.info.gouv.fr/upload/media/organization/0001/01/sites_default_files_contenu_piece-jointe_2022_07_22_-_dossier_de_presse_-_electronique_2030.pdf#:~:text=39%20millions%20d%E2%80%99euros%20de%20France,47%20millions</t>
  </si>
  <si>
    <t xml:space="preserve">9 Collaborative R&amp;D projects</t>
  </si>
  <si>
    <t xml:space="preserve">€47M</t>
  </si>
  <si>
    <t xml:space="preserve">Components/telecom/power/computing research</t>
  </si>
  <si>
    <t xml:space="preserve">Training Bodies</t>
  </si>
  <si>
    <t xml:space="preserve">€50M</t>
  </si>
  <si>
    <t xml:space="preserve">Electronics workforce training pipeline</t>
  </si>
  <si>
    <t xml:space="preserve">https://www.info.gouv.fr/upload/media/organization/0001/01/sites_default_files_contenu_piece-jointe_2022_07_22_-_dossier_de_presse_-_electronique_2030.pdf#:~:text=50%20millions%20d%E2%80%99euros%20pour%20soutenir,de%20formation%20pour%20alimenter%20les</t>
  </si>
  <si>
    <t xml:space="preserve">STMicroelectronics R&amp;D program</t>
  </si>
  <si>
    <t xml:space="preserve">2014-2019</t>
  </si>
  <si>
    <t xml:space="preserve">€360.1M</t>
  </si>
  <si>
    <t xml:space="preserve">FD-SOI, imaging, embedded NVM R&amp;D</t>
  </si>
  <si>
    <t xml:space="preserve">https://globaltradealert.org/intervention/88744#:~:text=On%2025%20June%202014%2C%20the,project%2C%20oriented%20at%20de</t>
  </si>
  <si>
    <t xml:space="preserve">Auvergne-Rhône-Alpes regional R&amp;D support</t>
  </si>
  <si>
    <t xml:space="preserve">€35M</t>
  </si>
  <si>
    <t xml:space="preserve">Grenoble micro/nanoelectronics ecosystem R&amp;D</t>
  </si>
  <si>
    <t xml:space="preserve">https://www.minatec.org/en/nano-2022-e35-million-earmarked-for-nanotechnology-rd/#:~:text=In%20late%202018%20the%20Auvergne,and%20compound%20semiconductors%20for%20microelectronics</t>
  </si>
  <si>
    <t xml:space="preserve">X-Fab France</t>
  </si>
  <si>
    <t xml:space="preserve">2019-2022</t>
  </si>
  <si>
    <t xml:space="preserve">Corbeil 200mm analog/mixed-signal platform</t>
  </si>
  <si>
    <t xml:space="preserve">https://minefi.hosting.augure.com/Augure_Minefi/r/ContenuEnLigne/Download?id=5829DDFB-3F26-44F7-A826-F46C47F333C7&amp;filename=1097%20-%20CP%20Grenoble.pdf#:~:text=Pour%20Rudi%20de%20Winter%2C%20pr%C3%A9sident,indirect%20en%20Ile%20de%20France</t>
  </si>
  <si>
    <t xml:space="preserve">UMS “Smart3” project</t>
  </si>
  <si>
    <t xml:space="preserve">€25M</t>
  </si>
  <si>
    <t xml:space="preserve">R&amp;D; APT</t>
  </si>
  <si>
    <t xml:space="preserve">RF SiP R&amp;D; GaN + silicon integration</t>
  </si>
  <si>
    <t xml:space="preserve">https://minefi.hosting.augure.com/Augure_Minefi/r/ContenuEnLigne/Download?id=5829DDFB-3F26-44F7-A826-F46C47F333C7&amp;filename=1097%20-%20CP%20Grenoble.pdf#:~:text=d%E2%80%99une%20ligne%20pilote%20industrielle%20permettant,v%C3%A9hicules%20autonomes%2C%20radars%20multifonction%2C%20constellation</t>
  </si>
  <si>
    <t xml:space="preserve">Murata Integrated Passive Solutions project</t>
  </si>
  <si>
    <t xml:space="preserve">≈€40M</t>
  </si>
  <si>
    <t xml:space="preserve">Miniaturized passives R&amp;D + pilot production</t>
  </si>
  <si>
    <t xml:space="preserve">https://minefi.hosting.augure.com/Augure_Minefi/r/ContenuEnLigne/Download?id=5829DDFB-3F26-44F7-A826-F46C47F333C7&amp;filename=1097%20-%20CP%20Grenoble.pdf#:~:text=avec%20un%20plan%20d%27investissement%20industriel,80%20nouveaux%20emplois%20industriels%20qualifi%C3%A9s</t>
  </si>
  <si>
    <t xml:space="preserve">CEA-Leti infrastructure/R&amp;D</t>
  </si>
  <si>
    <t xml:space="preserve">€120M</t>
  </si>
  <si>
    <t xml:space="preserve">Leti facilities + pilot lines for industry</t>
  </si>
  <si>
    <t xml:space="preserve">https://minefi.hosting.augure.com/Augure_Minefi/r/ContenuEnLigne/Download?id=5829DDFB-3F26-44F7-A826-F46C47F333C7&amp;filename=1097%20-%20CP%20Grenoble.pdf#:~:text=%22Le%20CEA,chaque%20ann%C3%A9e%20plusieurs%20centaines%20de</t>
  </si>
  <si>
    <t xml:space="preserve">Quinas ULTRARAM epitaxy scaleup</t>
  </si>
  <si>
    <t xml:space="preserve">£680K</t>
  </si>
  <si>
    <t xml:space="preserve">Award winners: Quinas Technology Ltd; Cardiff University; IQE PLC; Lancaster University</t>
  </si>
  <si>
    <t xml:space="preserve">https://www.ukri.org/news/11-5m-to-improve-semiconductor-manufacturing-and-supply-chains/</t>
  </si>
  <si>
    <t xml:space="preserve">Quantum Advanced QSens scaleup</t>
  </si>
  <si>
    <t xml:space="preserve">£1.2M</t>
  </si>
  <si>
    <t xml:space="preserve">Award winners: Quantum Advanced Solutions Ltd; University of Cambridge</t>
  </si>
  <si>
    <t xml:space="preserve">Lightricity UK packaging capability</t>
  </si>
  <si>
    <t xml:space="preserve">£560K</t>
  </si>
  <si>
    <t xml:space="preserve">Award winners: Lightricity Ltd; Alter Technology TUV NORD UK Ltd</t>
  </si>
  <si>
    <t xml:space="preserve">Compound Semi Centre InP</t>
  </si>
  <si>
    <t xml:space="preserve">£410K</t>
  </si>
  <si>
    <t xml:space="preserve">Photonics</t>
  </si>
  <si>
    <t xml:space="preserve">Award winners: Compound Semiconductor Centre Ltd; Ffotoneg Ltd; SPTS Technologies Ltd; Cardiff University</t>
  </si>
  <si>
    <t xml:space="preserve">Flexciton wafer-fab efficiency automation</t>
  </si>
  <si>
    <t xml:space="preserve">£1.0M</t>
  </si>
  <si>
    <t xml:space="preserve">WFE; Fabrication</t>
  </si>
  <si>
    <t xml:space="preserve">Award winners: Flexciton Ltd; Seagate Technology Ireland. UKRI describes this as a “12-month project.”</t>
  </si>
  <si>
    <t xml:space="preserve">Phlux avalanche photodiodes scaleup</t>
  </si>
  <si>
    <t xml:space="preserve">£830K</t>
  </si>
  <si>
    <t xml:space="preserve">Award winners: Phlux Technology Ltd; Sivers Photonicss Ltd; University of Sheffield; Hilight Semiconductor Ltd</t>
  </si>
  <si>
    <t xml:space="preserve">Minviro RESiLABLE impact calculator</t>
  </si>
  <si>
    <t xml:space="preserve">£256K</t>
  </si>
  <si>
    <t xml:space="preserve">WFE; Materials</t>
  </si>
  <si>
    <t xml:space="preserve">Award winners: Minviro Ltd; Swansea University</t>
  </si>
  <si>
    <t xml:space="preserve">Irresistible Materials High-NA photoresists</t>
  </si>
  <si>
    <t xml:space="preserve">£1.7M</t>
  </si>
  <si>
    <t xml:space="preserve">Award winners: Irresistible Materials Ltd; Endevour Speciality Chemicals Ltd</t>
  </si>
  <si>
    <t xml:space="preserve">Kubos 3C-SiC substrates onshoring</t>
  </si>
  <si>
    <t xml:space="preserve">£300K</t>
  </si>
  <si>
    <t xml:space="preserve">Award winners: Kubos Semiconductors Ltd; Advanced Epi Materials And Devices Ltd; Oxford Instruments PLC; Wafer Technology Ltd</t>
  </si>
  <si>
    <t xml:space="preserve">RAM Innovations Vishay supply-chain</t>
  </si>
  <si>
    <t xml:space="preserve">£321K</t>
  </si>
  <si>
    <t xml:space="preserve">Award winners: RAM Innovations Ltd; KuasaSemi Ltd; Vishay Ltd</t>
  </si>
  <si>
    <t xml:space="preserve">IceMOS 3C-SiC power devices</t>
  </si>
  <si>
    <t xml:space="preserve">£585K</t>
  </si>
  <si>
    <t xml:space="preserve">Compound; Materials</t>
  </si>
  <si>
    <t xml:space="preserve">Award winners: IceMOS Technology Ltd; University of Warwick</t>
  </si>
  <si>
    <t xml:space="preserve">Paragraf UK graphene foundry</t>
  </si>
  <si>
    <t xml:space="preserve">£1.4M</t>
  </si>
  <si>
    <t xml:space="preserve">Award winners: Paragraf Ltd; UK Electronic Skills Foundation; University of Birmingham; Cupio Services Ltd; University of Glasgow</t>
  </si>
  <si>
    <t xml:space="preserve">Silverray X-ray dosimeters manufacturing</t>
  </si>
  <si>
    <t xml:space="preserve">£530K</t>
  </si>
  <si>
    <t xml:space="preserve">Award winners: Silverray Ltd; University of Surrey</t>
  </si>
  <si>
    <t xml:space="preserve">Vector Photonicss GaN Photonics-crystals</t>
  </si>
  <si>
    <t xml:space="preserve">£650K</t>
  </si>
  <si>
    <t xml:space="preserve">Photonics; Fabrication</t>
  </si>
  <si>
    <t xml:space="preserve">Award winners: Vector Photonicss Ltd; University of Glasgow</t>
  </si>
  <si>
    <t xml:space="preserve">BAE Systems INTERPOSE-UK project</t>
  </si>
  <si>
    <t xml:space="preserve">£438K</t>
  </si>
  <si>
    <t xml:space="preserve">Award winners: BAE Systems (Operation</t>
  </si>
  <si>
    <t xml:space="preserve">Gallium Nitride Technology Center</t>
  </si>
  <si>
    <t xml:space="preserve">$85M</t>
  </si>
  <si>
    <t xml:space="preserve">Government funded GaN Center</t>
  </si>
  <si>
    <t xml:space="preserve">https://www.edb.gov.sg/en/business-insights/insights/investments-into-semiconductor-centre-industry-tie-ups-to-power-manufacturing-transformation.html#:~:text=To%20ride%20on%20the%20strength,and%20be%20as%20a%20shared</t>
  </si>
  <si>
    <t xml:space="preserve">Microchip Gresham Fab Expansion</t>
  </si>
  <si>
    <t xml:space="preserve">$11M</t>
  </si>
  <si>
    <t xml:space="preserve">Modernization &amp; expansion to triple chip output</t>
  </si>
  <si>
    <t xml:space="preserve">https://www.oregon.gov/biz/programs/or_chips_fund/pages/default.aspx#g_87eec6f9_bc10_483b_a964_783bb154410c</t>
  </si>
  <si>
    <t xml:space="preserve">Intel Hillsboro R&amp;D Fab Expansion</t>
  </si>
  <si>
    <t xml:space="preserve">$115M</t>
  </si>
  <si>
    <t xml:space="preserve">Expansion of D1X R&amp;D fab; part of $1.86B federal CHIPS award</t>
  </si>
  <si>
    <t xml:space="preserve">HP Microfluidics R&amp;D Center</t>
  </si>
  <si>
    <t xml:space="preserve">$9.5M</t>
  </si>
  <si>
    <t xml:space="preserve">Facility upgrades for MEMS/microfluidics R&amp;D</t>
  </si>
  <si>
    <t xml:space="preserve">Analog Devices Beaverton Site Expansion</t>
  </si>
  <si>
    <t xml:space="preserve">$12M</t>
  </si>
  <si>
    <t xml:space="preserve">Equipment &amp; facility expansion; largest ADI site</t>
  </si>
  <si>
    <t xml:space="preserve">Siltronic Metrology Modernization</t>
  </si>
  <si>
    <t xml:space="preserve">$1.5M</t>
  </si>
  <si>
    <t xml:space="preserve">Equipment to modernize metrology for wafer production</t>
  </si>
  <si>
    <t xml:space="preserve">Lam Research Advanced R&amp;D Center</t>
  </si>
  <si>
    <t xml:space="preserve">$22M</t>
  </si>
  <si>
    <t xml:space="preserve">New R&amp;D center construction at Tualatin campus</t>
  </si>
  <si>
    <t xml:space="preserve">Stratacache MicroLED Foundry</t>
  </si>
  <si>
    <t xml:space="preserve">$19M</t>
  </si>
  <si>
    <t xml:space="preserve">Reuse of legacy fab for MicroLED production</t>
  </si>
  <si>
    <t xml:space="preserve">ATI Specialty Materials Expansion</t>
  </si>
  <si>
    <t xml:space="preserve">$1.6M</t>
  </si>
  <si>
    <t xml:space="preserve">Expanding materials production for semiconductors</t>
  </si>
  <si>
    <t xml:space="preserve">AGC Electronic Hillsboro Upgrade</t>
  </si>
  <si>
    <t xml:space="preserve">$500K</t>
  </si>
  <si>
    <t xml:space="preserve">Facility modernization for glass/electronics subsidiary</t>
  </si>
  <si>
    <t xml:space="preserve">Valliscor Semiconductor Chemicals Plant</t>
  </si>
  <si>
    <t xml:space="preserve">$345K</t>
  </si>
  <si>
    <t xml:space="preserve">New plant in Albany to support specialty chemical production</t>
  </si>
  <si>
    <t xml:space="preserve">TOKA Lithography Materials Expansion</t>
  </si>
  <si>
    <t xml:space="preserve">$2.9M</t>
  </si>
  <si>
    <t xml:space="preserve">Expansion of TOKA facility in Hillsboro for photolithography</t>
  </si>
  <si>
    <t xml:space="preserve">(Rumored) Oppstar IC Design Scale-Up</t>
  </si>
  <si>
    <t xml:space="preserve">Malaysian IC design firm backed by EPF &amp; KWAP as NSS champion</t>
  </si>
  <si>
    <t xml:space="preserve">https://theedgemalaysia.com/node/763905; https://www.klsescreener.com/v2/news/view/1345151/Cover_Story_National_Semiconductor_Strategy_to_guide_industry_up_value_chain#</t>
  </si>
  <si>
    <t xml:space="preserve">(Rumored) ViTrox Advanced Inspection Automation</t>
  </si>
  <si>
    <t xml:space="preserve">WFE; APT; R&amp;D</t>
  </si>
  <si>
    <t xml:space="preserve">Local APT &amp; inspection tech firm, EPF/KWAP invested via NSS</t>
  </si>
  <si>
    <t xml:space="preserve">(Rumored) Inari OSAT Expansion</t>
  </si>
  <si>
    <t xml:space="preserve">Leading Malaysian OSAT firm named as NSS champion</t>
  </si>
  <si>
    <t xml:space="preserve">(Rumored) Carsem High-Value Assembly Investment</t>
  </si>
  <si>
    <t xml:space="preserve">Major backend packaging company under Malaysia NSS</t>
  </si>
  <si>
    <t xml:space="preserve">(Rumored) Pentamaster Test &amp; Automation Scale-Up</t>
  </si>
  <si>
    <t xml:space="preserve">Semiconductor automation and test systems company</t>
  </si>
  <si>
    <t xml:space="preserve">(Rumored) Kelington Semiconductor Infra Services Boost</t>
  </si>
  <si>
    <t xml:space="preserve">Fab infra and specialty services integrator</t>
  </si>
  <si>
    <t xml:space="preserve">(Rumored) SkyeChip AI Chip Design Acceleration</t>
  </si>
  <si>
    <t xml:space="preserve">AI and HPC chip design firm highlighted under NSS</t>
  </si>
  <si>
    <t xml:space="preserve">(Rumored) Infinecs Power IC Design Program</t>
  </si>
  <si>
    <t xml:space="preserve">Power management IC firm under NSS champions</t>
  </si>
  <si>
    <t xml:space="preserve">(Rumored) Experior Systems IC Design Growth</t>
  </si>
  <si>
    <t xml:space="preserve">Malaysian IC/system design company under NSS</t>
  </si>
  <si>
    <t xml:space="preserve">US Intel Equity Stake</t>
  </si>
  <si>
    <t xml:space="preserve">Equity Stake</t>
  </si>
  <si>
    <t xml:space="preserve">$8.9B</t>
  </si>
  <si>
    <t xml:space="preserve">Equity stake in Intel</t>
  </si>
  <si>
    <t xml:space="preserve">https://www.intc.com/news-events/press-releases/detail/1748/intel-and-trump-administration-reach-historic-agreement-to?</t>
  </si>
  <si>
    <t xml:space="preserve">USA Rare Earth Inc Equity Stake</t>
  </si>
  <si>
    <t xml:space="preserve">$277M</t>
  </si>
  <si>
    <t xml:space="preserve">Rare earth metal development</t>
  </si>
  <si>
    <t xml:space="preserve">https://www.nist.gov/news-events/news/2026/01/department-commerces-chips-program-announces-letter-intent-usa-rare-earth?</t>
  </si>
  <si>
    <t xml:space="preserve">$1.3B</t>
  </si>
  <si>
    <t xml:space="preserve">Samsung Electronics – Yokohama Advanced Package Lab</t>
  </si>
  <si>
    <t xml:space="preserve">¥20B (~$127M)</t>
  </si>
  <si>
    <t xml:space="preserve">5-year Post-5G Fund grant for next-gen chiplet and packaging R&amp;D</t>
  </si>
  <si>
    <t xml:space="preserve">https://eetimes.itmedia.co.jp/ee/articles/2312/21/news174.html; https://www.nikkei.com/article/DGXZQOUA212B80R21C23A2000000/</t>
  </si>
  <si>
    <t xml:space="preserve">Rapidus – Additional Grant FY2026-27</t>
  </si>
  <si>
    <t xml:space="preserve">2026-2027</t>
  </si>
  <si>
    <t xml:space="preserve">¥1T (~$6.3B)</t>
  </si>
  <si>
    <t xml:space="preserve">Fabrication; Logic; R&amp;D</t>
  </si>
  <si>
    <t xml:space="preserve">METI Nov 2025 announcement of additional ¥1T for FY2026-27; separate from Grant One and Grant Two tranches</t>
  </si>
  <si>
    <t xml:space="preserve">https://www.nikkei.com/article/DGXZQOUA218OG0R21C25A1000000/</t>
  </si>
  <si>
    <t xml:space="preserve">Renesas Electronics – Microcontroller Supply Security</t>
  </si>
  <si>
    <t xml:space="preserve">¥15.9B (~$101M)</t>
  </si>
  <si>
    <t xml:space="preserve">Domestic microcontroller production capacity strengthening</t>
  </si>
  <si>
    <t xml:space="preserve">https://www.meti.go.jp/policy/economy/economic_security/semicon/nintei_anpohandoutai_keikaku_01.pdf</t>
  </si>
  <si>
    <t xml:space="preserve">Ibiden – FC-BGA Package Substrates (Ono Plant)</t>
  </si>
  <si>
    <t xml:space="preserve">¥40.5B (~$300M)</t>
  </si>
  <si>
    <t xml:space="preserve">METI ESPA supply-assurance plan authorization Apr 28 2023; max subsidy ≤1/3 of project cost for FC-BGA substrate mass production at Ono Plant, Gifu Prefecture</t>
  </si>
  <si>
    <t xml:space="preserve">https://www.ibiden.com/company/2023/04/approval-of-supply-securing-plan-for-ono-plant.html; https://www.meti.go.jp/english/policy/0704_001.pdf</t>
  </si>
  <si>
    <t xml:space="preserve">SUMCO – 300mm Silicon Wafer Expansion (Saga)</t>
  </si>
  <si>
    <t xml:space="preserve">¥75B (~$555M)</t>
  </si>
  <si>
    <t xml:space="preserve">METI ESPA authorization Jul 14 2023; ¥75B subsidy (1/3 of ¥225B project) for 300mm wafer fabs in Imari and Yoshinogari, Saga; construction delayed Apr 2026 due to market shift</t>
  </si>
  <si>
    <t xml:space="preserve">https://www.meti.go.jp/english/policy/0704_001.pdf; https://www.trendforce.com/news/2026/04/06/news-sumco-delays-construction-of-two-silicon-wafer-fabs-amid-market-shift/</t>
  </si>
  <si>
    <t xml:space="preserve">Canon + Canon Semiconductor Equipment – Lithography/Exposure Tools</t>
  </si>
  <si>
    <t xml:space="preserve">¥11.1B (~$82M)</t>
  </si>
  <si>
    <t xml:space="preserve">METI ESPA authorization Jun 16 2023; max subsidy for lithography/exposure tool production at Utsunomiya (Tochigi) and Ami (Ibaraki) facilities</t>
  </si>
  <si>
    <t xml:space="preserve">Resonac – SiC Wafers / CMP Slurries</t>
  </si>
  <si>
    <t xml:space="preserve">¥11.4B (~$76.3M)</t>
  </si>
  <si>
    <t xml:space="preserve">METI ESPA authorization Jun 16 2023 for Resonac Holdings (former Showa Denko Materials) SiC wafer and CMP slurry capacity</t>
  </si>
  <si>
    <t xml:space="preserve">Sumitomo Electric Industries – SiC Wafers</t>
  </si>
  <si>
    <t xml:space="preserve">¥11B (~$74.1M)</t>
  </si>
  <si>
    <t xml:space="preserve">METI ESPA authorization Jun 16 2023 for SiC wafer production</t>
  </si>
  <si>
    <t xml:space="preserve">Shinko Electric Industries – Package Substrates</t>
  </si>
  <si>
    <t xml:space="preserve">¥19.8B (~$132M)</t>
  </si>
  <si>
    <t xml:space="preserve">METI ESPA authorization Jun 16 2023 for IC package substrate capacity expansion</t>
  </si>
  <si>
    <t xml:space="preserve">Gas Consortium (Sumitomo Corp, Koatsu Gas, Kioxia, Sony et al.) – Industrial Gases</t>
  </si>
  <si>
    <t xml:space="preserve">~¥30B (~$199M)</t>
  </si>
  <si>
    <t xml:space="preserve">METI ESPA authorizations Jun 16 / Jul 28 / Dec 6 2023 covering yellow phosphorus, helium, neon gas supply including Iwatani, JFE Steel + Tokyo Gas Chemical, Taiyo Nippon Sanso, Air Liquide Japan, Rasa Industries</t>
  </si>
  <si>
    <t xml:space="preserve">Kanadevia (Hitachi Zosen) – CMP Lapping Plates</t>
  </si>
  <si>
    <t xml:space="preserve">¥0.9B (~$6M)</t>
  </si>
  <si>
    <t xml:space="preserve">METI ESPA authorization Nov 29 2024; ¥0.9B of ¥2.7B project for CMP/wafer processing consumables at Takahama (Fukui); start April 2027</t>
  </si>
  <si>
    <t xml:space="preserve">https://monoist.itmedia.co.jp/mn/articles/2412/02/news070.html</t>
  </si>
  <si>
    <t xml:space="preserve">Takiron CI + Takiron Tech – Resin Plates</t>
  </si>
  <si>
    <t xml:space="preserve">¥1.4B (~$9M)</t>
  </si>
  <si>
    <t xml:space="preserve">METI ESPA authorization Nov 29 2024; ¥1.4B of ¥4.4B project for semiconductor-processing resin plates; start January 2027</t>
  </si>
  <si>
    <t xml:space="preserve">Mitsubishi Chemical – Synthetic Quartz Powder</t>
  </si>
  <si>
    <t xml:space="preserve">¥3.7B (~$24M)</t>
  </si>
  <si>
    <t xml:space="preserve">METI ESPA authorization Nov 29 2024 for synthetic quartz powder production at Kitakyushu plant</t>
  </si>
  <si>
    <t xml:space="preserve">Chemours-Mitsui Fluoroproducts – Fluoropolymers</t>
  </si>
  <si>
    <t xml:space="preserve">¥8.0B (~$53M)</t>
  </si>
  <si>
    <t xml:space="preserve">METI ESPA authorization Nov 29 2024; ¥8.0B of ¥27.5B project for fluoropolymers used in semiconductor equipment; capacity +60%; start December 2028</t>
  </si>
  <si>
    <t xml:space="preserve">Skyworks Filter Solutions Japan – BAW Filters</t>
  </si>
  <si>
    <t xml:space="preserve">¥4.4B (~$29M)</t>
  </si>
  <si>
    <t xml:space="preserve">METI ESPA authorization Nov 29 2024; ¥4.4B of ¥13.4B project for BAW filter production; start April 2027; 28,800 units/year</t>
  </si>
  <si>
    <t xml:space="preserve">JX Metal (JX Advanced Metals) – Copper Sputtering Targets</t>
  </si>
  <si>
    <t xml:space="preserve">¥2.2B (~$15M)</t>
  </si>
  <si>
    <r>
      <rPr>
        <sz val="12"/>
        <color theme="1"/>
        <rFont val="Aptos Narrow"/>
        <family val="2"/>
        <charset val="1"/>
      </rPr>
      <t xml:space="preserve">METI ESPA authorization Jul 18 2025 (authorization 2025</t>
    </r>
    <r>
      <rPr>
        <sz val="12"/>
        <color theme="1"/>
        <rFont val="Noto Sans CJK SC"/>
        <family val="2"/>
      </rPr>
      <t xml:space="preserve">半導体第</t>
    </r>
    <r>
      <rPr>
        <sz val="12"/>
        <color theme="1"/>
        <rFont val="Aptos Narrow"/>
        <family val="2"/>
        <charset val="1"/>
      </rPr>
      <t xml:space="preserve">1</t>
    </r>
    <r>
      <rPr>
        <sz val="12"/>
        <color theme="1"/>
        <rFont val="Noto Sans CJK SC"/>
        <family val="2"/>
      </rPr>
      <t xml:space="preserve">号</t>
    </r>
    <r>
      <rPr>
        <sz val="12"/>
        <color theme="1"/>
        <rFont val="Aptos Narrow"/>
        <family val="2"/>
        <charset val="1"/>
      </rPr>
      <t xml:space="preserve">-1); ¥2.2B of ¥6.6B project for copper sputtering targets at Hitachinaka plant</t>
    </r>
  </si>
  <si>
    <t xml:space="preserve">https://www.meti.go.jp/policy/economy/economic_security/semicon/nintei_anpohandoutai_keikaku_25.pdf</t>
  </si>
  <si>
    <t xml:space="preserve">Sony Semiconductor Manufacturing – Koshi (Kumamoto) CMOS Image Sensor Plant</t>
  </si>
  <si>
    <t xml:space="preserve">2026-2029</t>
  </si>
  <si>
    <t xml:space="preserve">¥60B (~$400M)</t>
  </si>
  <si>
    <t xml:space="preserve">METI ESPA authorization Apr 17 2026; max ¥60B (1/3) of ¥180B project; 300mm fab producing ~10k wafers/month of CMOS image sensors for smartphones/automotive; supply start May 2029</t>
  </si>
  <si>
    <t xml:space="preserve">https://finance.biggo.com/news/U9nPmZ0B5edQG9E4l94B</t>
  </si>
  <si>
    <r>
      <rPr>
        <sz val="12"/>
        <color theme="1"/>
        <rFont val="Aptos Narrow"/>
        <family val="2"/>
        <charset val="1"/>
      </rPr>
      <t xml:space="preserve">Huaxin Dingxin (Beijing) Equity Investment Fund (</t>
    </r>
    <r>
      <rPr>
        <sz val="12"/>
        <color theme="1"/>
        <rFont val="Noto Sans CJK SC"/>
        <family val="2"/>
      </rPr>
      <t xml:space="preserve">华芯鼎新</t>
    </r>
    <r>
      <rPr>
        <sz val="12"/>
        <color theme="1"/>
        <rFont val="Aptos Narrow"/>
        <family val="2"/>
        <charset val="1"/>
      </rPr>
      <t xml:space="preserve">)</t>
    </r>
  </si>
  <si>
    <t xml:space="preserve">2024-2039</t>
  </si>
  <si>
    <t xml:space="preserve">Investment Fund</t>
  </si>
  <si>
    <t xml:space="preserve">¥93B (~$13.1B)</t>
  </si>
  <si>
    <t xml:space="preserve">Big Fund III sub-fund registered Dec 31 2024; Big Fund III injected ¥93B + SINO-IC Capital ¥93M as GP; fund-of-fund covering full IC value chain</t>
  </si>
  <si>
    <t xml:space="preserve">https://www.dealstreetasia.com/stories/chinas-47b-third-semiconductor-big-fund-kickstarts-investments-425517; https://www.tomshardware.com/tech-industry/china-starts-big-fund-iii-spending-usd47-billion-for-ecosystem-and-fab-tools</t>
  </si>
  <si>
    <r>
      <rPr>
        <sz val="12"/>
        <color theme="1"/>
        <rFont val="Aptos Narrow"/>
        <family val="2"/>
        <charset val="1"/>
      </rPr>
      <t xml:space="preserve">Guotou Jixin (Beijing) Equity Investment Fund (</t>
    </r>
    <r>
      <rPr>
        <sz val="12"/>
        <color theme="1"/>
        <rFont val="Noto Sans CJK SC"/>
        <family val="2"/>
      </rPr>
      <t xml:space="preserve">国投集新</t>
    </r>
    <r>
      <rPr>
        <sz val="12"/>
        <color theme="1"/>
        <rFont val="Aptos Narrow"/>
        <family val="2"/>
        <charset val="1"/>
      </rPr>
      <t xml:space="preserve">)</t>
    </r>
  </si>
  <si>
    <t xml:space="preserve">¥71B (~$9.7B)</t>
  </si>
  <si>
    <t xml:space="preserve">Big Fund III sub-fund registered Dec 31 2024; Big Fund III injected ¥71B + SDIC Venture Capital ¥71M as GP; focused on equipment and materials deployments</t>
  </si>
  <si>
    <t xml:space="preserve">https://www.dealstreetasia.com/stories/chinas-47b-third-semiconductor-big-fund-kickstarts-investments-425517</t>
  </si>
  <si>
    <t xml:space="preserve">Khazanah/KWAP Semiconductor Co-Investment Fund</t>
  </si>
  <si>
    <t xml:space="preserve">RM550M (~$117M)</t>
  </si>
  <si>
    <t xml:space="preserve">Budget 2026 (Oct 2025) allocation; direct equity co-investment into local chipmakers and JVs with MNCs through Khazanah + KWAP</t>
  </si>
  <si>
    <t xml:space="preserve">https://thesun.my/news/malaysia-news/budget-2026-rm200mil-co-investment-fund-rm550mil-semiconductor-boost-highlight-budget-2026-fc15067174/</t>
  </si>
  <si>
    <t xml:space="preserve">Bank Pembangunan Malaysia Berhad (BPMB) – Semiconductor R&amp;D Loan Facility</t>
  </si>
  <si>
    <t xml:space="preserve">RM500M (~$106M)</t>
  </si>
  <si>
    <t xml:space="preserve">Budget 2026 loan facility for semiconductor R&amp;D and design activities by local E&amp;E firms</t>
  </si>
  <si>
    <t xml:space="preserve">https://www.msia.org.my/news_updates_details/PPGDAVSOO8</t>
  </si>
  <si>
    <t xml:space="preserve">MOSTI Science Endowment – Advanced Packaging Matching Fund</t>
  </si>
  <si>
    <t xml:space="preserve">RM90M (~$19M)</t>
  </si>
  <si>
    <t xml:space="preserve">MOSTI Science Endowment matching fund launched July 2025; advanced semiconductor packaging modernization for OSAT firms</t>
  </si>
  <si>
    <t xml:space="preserve">https://theedgemalaysia.com/node/763095</t>
  </si>
  <si>
    <t xml:space="preserve">X-FAB Sarawak Expansion (Sama Jaya FIZ)</t>
  </si>
  <si>
    <t xml:space="preserve">RM3B (~$637M)</t>
  </si>
  <si>
    <t xml:space="preserve">Announced September 2025; X-FAB 200mm fab expansion from 30k→40k wafers/month (target 50k) at Sama Jaya FIZ, Kuching; analog/mixed-signal; Sarawak state incentive package</t>
  </si>
  <si>
    <t xml:space="preserve">https://www.nst.com.my/business/corporate/2025/09/1274102/germanys-x-fab-invests-rm3bil-expand-sarawak-chip-plant</t>
  </si>
  <si>
    <t xml:space="preserve">Crucible Metals Critical Minerals Facility</t>
  </si>
  <si>
    <t xml:space="preserve">$210M</t>
  </si>
  <si>
    <t xml:space="preserve">Domestic critical minerals refining and smelting capabilities supporting semiconductor supply chains</t>
  </si>
  <si>
    <t xml:space="preserve">https://www.nist.gov/news-events/news/2025/12/department-commerce-awards-chips-incentives-subsidiary-korea-zinc-crucible</t>
  </si>
  <si>
    <t xml:space="preserve">Coherent Sherman Expansion</t>
  </si>
  <si>
    <t xml:space="preserve">2026-2028</t>
  </si>
  <si>
    <t xml:space="preserve">$14.1M</t>
  </si>
  <si>
    <t xml:space="preserve">Indium phosphide wafer and photonics manufacturing expansion in Sherman, Texas</t>
  </si>
  <si>
    <t xml:space="preserve">https://gov.texas.gov/news/post/governor-abbott-announces-texas-semiconductor-innovation-fund-grant-to-coherent-corp</t>
  </si>
  <si>
    <t xml:space="preserve">Arm Austin Semiconductor Lab</t>
  </si>
  <si>
    <t xml:space="preserve">$4.16M</t>
  </si>
  <si>
    <t xml:space="preserve">Semiconductor failure analysis and advanced chip design lab expansion in Austin</t>
  </si>
  <si>
    <t xml:space="preserve">https://gov.texas.gov/news/post/governor-abbott-announces-texas-semiconductor-innovation-fund-grant-to-arm-inc</t>
  </si>
  <si>
    <t xml:space="preserve">Texas A&amp;M Cyclotron Institute Expansion</t>
  </si>
  <si>
    <t xml:space="preserve">$13M</t>
  </si>
  <si>
    <t xml:space="preserve">Semiconductor testing and research infrastructure expansion at Texas A&amp;M University</t>
  </si>
  <si>
    <t xml:space="preserve">https://gov.texas.gov/news/post/governor-abbott-announces-texas-semiconductor-innovation-fund-grant-to-texas-am-university</t>
  </si>
  <si>
    <t xml:space="preserve">MACOM Lowell MA and Durham NC Expansion</t>
  </si>
  <si>
    <t xml:space="preserve">Proposed Subsidy</t>
  </si>
  <si>
    <t xml:space="preserve">$70M</t>
  </si>
  <si>
    <t xml:space="preserve">Proposed CHIPS PMT supporting expansion and modernization of MACOM facilities in Lowell MA and Durham NC; Category 1A trusted foundries producing GaN and GaAs compound semiconductors for defense radar telecom and commercial RF applications</t>
  </si>
  <si>
    <t xml:space="preserve">https://www.commerce.gov/news/press-releases/2025/01/us-department-commerce-announces-preliminary-terms-macom-help</t>
  </si>
  <si>
    <t xml:space="preserve">Analog Devices Massachusetts Oregon Washington Expansion</t>
  </si>
  <si>
    <t xml:space="preserve">$105M</t>
  </si>
  <si>
    <t xml:space="preserve">Proposed CHIPS PMT supporting ADI R&amp;D and RF microwave systems manufacturing in Chelmsford MA plus mature-node semiconductor fabrication facilities in Beaverton OR and Camas WA</t>
  </si>
  <si>
    <t xml:space="preserve">https://www.commerce.gov/news/press-releases/2025/01/department-commerce-announces-preliminary-terms-analog-devices-coherent</t>
  </si>
  <si>
    <t xml:space="preserve">Coherent Easton PA SiC Expansion</t>
  </si>
  <si>
    <t xml:space="preserve">$79M</t>
  </si>
  <si>
    <t xml:space="preserve">Materials; Compound</t>
  </si>
  <si>
    <t xml:space="preserve">Proposed CHIPS PMT supporting Coherent's Easton PA facility expansion for 150mm and 200mm silicon carbide substrates, SiC epitaxial wafers, back-end processing and reliability testing</t>
  </si>
  <si>
    <t xml:space="preserve">IntelliEPI Allen TX Epitaxy Wafer Expansion</t>
  </si>
  <si>
    <t xml:space="preserve">$10.3M</t>
  </si>
  <si>
    <t xml:space="preserve">Proposed CHIPS PMT supporting expansion and modernization of IntelliEPI's Allen TX facility to increase epitaxial wafer production for compound semiconductor applications</t>
  </si>
  <si>
    <t xml:space="preserve">Sumika Baytown TX High-Purity Chemicals Facility</t>
  </si>
  <si>
    <t xml:space="preserve">$52.1M</t>
  </si>
  <si>
    <t xml:space="preserve">Proposed CHIPS PMT supporting Sumika greenfield factory in Baytown TX to manufacture ultra-high-purity chemicals used in semiconductor production</t>
  </si>
  <si>
    <t xml:space="preserve">Micron Expanded U.S. Memory Manufacturing Investment</t>
  </si>
  <si>
    <t xml:space="preserve">$275M</t>
  </si>
  <si>
    <t xml:space="preserve">Fabrication; APT; R&amp;D</t>
  </si>
  <si>
    <t xml:space="preserve">Incremental CHIPS Act direct funding accompanying Micron's expanded $200B U.S. manufacturing and R&amp;D investment across Idaho New York and Virginia including advanced memory manufacturing and HBM-related packaging capacity</t>
  </si>
  <si>
    <t xml:space="preserve">https://www.nist.gov/news-events/news/2025/06/president-trump-secures-200b-investment-micron-technology-memory-chip</t>
  </si>
  <si>
    <t xml:space="preserve">Vulcan Elements NdFeB Magnet Equipment</t>
  </si>
  <si>
    <t xml:space="preserve">Proposed Equity Incentive</t>
  </si>
  <si>
    <t xml:space="preserve">$50M</t>
  </si>
  <si>
    <t xml:space="preserve">Proposed CHIPS LOI for equipment supporting domestic rare earth separation metallization and NdFeB magnet manufacturing; Commerce expected to receive $50M of equity in Vulcan Elements</t>
  </si>
  <si>
    <t xml:space="preserve">https://www.nist.gov/news-events/news/2025/11/department-commerce-announces-chips-incentives-letter-intent-vulcan</t>
  </si>
  <si>
    <t xml:space="preserve">xLight EUV Free-Electron Laser Prototype</t>
  </si>
  <si>
    <t xml:space="preserve">$150M</t>
  </si>
  <si>
    <t xml:space="preserve">Proposed CHIPS R&amp;D LOI for xLight to construct build out and demonstrate a free-electron laser prototype as an alternative EUV lithography light source at the Albany Nanotech Complex; Commerce expected to receive $150M of equity in xLight</t>
  </si>
  <si>
    <t xml:space="preserve">https://www.nist.gov/news-events/news/2025/12/department-commerce-and-nist-announce-chips-research-and-development-letter</t>
  </si>
  <si>
    <t xml:space="preserve">Coherent Corp. InP Expansion (Sherman, TX)</t>
  </si>
  <si>
    <t xml:space="preserve">up to $50M</t>
  </si>
  <si>
    <t xml:space="preserve">150mm InP fab expansion supporting domestic photonics semiconductor capacity</t>
  </si>
  <si>
    <t xml:space="preserve">https://www.nist.gov/chips</t>
  </si>
  <si>
    <t xml:space="preserve">Robert Bosch Semiconductor LLC (Roseville, CA SiC)</t>
  </si>
  <si>
    <t xml:space="preserve">up to $225M</t>
  </si>
  <si>
    <t xml:space="preserve">Roseville SiC fab conversion expanding domestic power semiconductor production</t>
  </si>
  <si>
    <t xml:space="preserve">https://www.nist.gov/news-events/news/2026/07/department-commerce-announces-direct-funding-agreement-bosch-225-million</t>
  </si>
  <si>
    <t xml:space="preserve">I-Pulse SiC Development</t>
  </si>
  <si>
    <t xml:space="preserve">$250M</t>
  </si>
  <si>
    <t xml:space="preserve">R&amp;D; Fabrication; Compound</t>
  </si>
  <si>
    <t xml:space="preserve">Novel SiC power semiconductor technology development</t>
  </si>
  <si>
    <t xml:space="preserve">https://www.nist.gov/news-events/news/2026/06/department-commerce-announces-definitive-agreement-i-pulse-250-million</t>
  </si>
  <si>
    <t xml:space="preserve">Multibeam Corp. (CHIPS R&amp;D)</t>
  </si>
  <si>
    <t xml:space="preserve">$140M</t>
  </si>
  <si>
    <t xml:space="preserve">Advanced chip stacking and interconnect packaging technology development</t>
  </si>
  <si>
    <t xml:space="preserve">https://www.nist.gov/news-events/news/2026/07/department-commerce-announces-letters-intent-7-companies-874-million</t>
  </si>
  <si>
    <t xml:space="preserve">GlobalFoundries (CHIPS R&amp;D)</t>
  </si>
  <si>
    <t xml:space="preserve">Co-packaged optics development supporting domestic AI infrastructure</t>
  </si>
  <si>
    <t xml:space="preserve">Kepler Computing (CHIPS R&amp;D)</t>
  </si>
  <si>
    <t xml:space="preserve">$245M</t>
  </si>
  <si>
    <t xml:space="preserve">High-performance AI memory technology development</t>
  </si>
  <si>
    <t xml:space="preserve">Extropic (CHIPS R&amp;D)</t>
  </si>
  <si>
    <t xml:space="preserve">Probabilistic computing semiconductor technology development</t>
  </si>
  <si>
    <t xml:space="preserve">Thintronics (CHIPS R&amp;D)</t>
  </si>
  <si>
    <t xml:space="preserve">Ultra-low-loss dielectric materials for advanced semiconductor interconnects</t>
  </si>
  <si>
    <t xml:space="preserve">OBSIDIA (CHIPS R&amp;D)</t>
  </si>
  <si>
    <t xml:space="preserve">$34M</t>
  </si>
  <si>
    <t xml:space="preserve">Counterfeit and malicious semiconductor component identification technology</t>
  </si>
  <si>
    <t xml:space="preserve">Aeluma (CHIPS R&amp;D)</t>
  </si>
  <si>
    <t xml:space="preserve">$30M</t>
  </si>
  <si>
    <t xml:space="preserve">Large-diameter photonics substrates for photodetectors and lasers</t>
  </si>
  <si>
    <t xml:space="preserve">Texas Instruments (Richardson, TX fab)</t>
  </si>
  <si>
    <t xml:space="preserve">$33.6M</t>
  </si>
  <si>
    <t xml:space="preserve">Richardson 300mm wafer fab capacity and technology expansion</t>
  </si>
  <si>
    <t xml:space="preserve">https://gov.texas.gov/news/post/governor-abbott-announces-texas-semiconductor-innovation-fund-grant-to-texas-instruments</t>
  </si>
  <si>
    <t xml:space="preserve">Rapidus IPA Equity Injection #2</t>
  </si>
  <si>
    <t xml:space="preserve">Government equity investment supporting Rapidus 2nm logic commercialization</t>
  </si>
  <si>
    <t xml:space="preserve">https://www.meti.go.jp/english/speeches/press_conferences/2026/0605001.html</t>
  </si>
  <si>
    <t xml:space="preserve">Tower Semiconductor Japan (Uozu &amp; Myoko optical-semi fabs)</t>
  </si>
  <si>
    <t xml:space="preserve">~¥160B</t>
  </si>
  <si>
    <t xml:space="preserve">300mm silicon photonics and SiGe fab expansion</t>
  </si>
  <si>
    <t xml:space="preserve">https://towersemi.com/2026/07/14/07142026/</t>
  </si>
  <si>
    <t xml:space="preserve">FuriosaAI</t>
  </si>
  <si>
    <t xml:space="preserve">₩370B</t>
  </si>
  <si>
    <t xml:space="preserve">Government equity investment supporting domestic AI chip development</t>
  </si>
  <si>
    <t xml:space="preserve">https://www.fsc.go.kr/no010101/87003</t>
  </si>
  <si>
    <t xml:space="preserve">Techwing</t>
  </si>
  <si>
    <t xml:space="preserve">₩50B</t>
  </si>
  <si>
    <t xml:space="preserve">HBM test handler production capacity expansion</t>
  </si>
  <si>
    <t xml:space="preserve">https://www.fsc.go.kr/no010101/87442</t>
  </si>
  <si>
    <t xml:space="preserve">Doosan Tesna</t>
  </si>
  <si>
    <t xml:space="preserve">₩560B</t>
  </si>
  <si>
    <t xml:space="preserve">System semiconductor testing and back-end capacity expansion</t>
  </si>
  <si>
    <t xml:space="preserve">https://www.fsc.go.kr/no010101/87609</t>
  </si>
  <si>
    <t xml:space="preserve">TKG Solmics</t>
  </si>
  <si>
    <t xml:space="preserve">₩100B</t>
  </si>
  <si>
    <t xml:space="preserve">Semiconductor equipment silicon component production capacity expansion</t>
  </si>
  <si>
    <t xml:space="preserve">Oketto (Orchestro)</t>
  </si>
  <si>
    <t xml:space="preserve">₩11.25B</t>
  </si>
  <si>
    <t xml:space="preserve">AI-semiconductor cloud software stack and model hub development</t>
  </si>
  <si>
    <t xml:space="preserve">https://www.etnews.com/20260508000191</t>
  </si>
  <si>
    <t xml:space="preserve">Element 3-5 GmbH SiC Epi-Wafer Facility</t>
  </si>
  <si>
    <t xml:space="preserve">€353M</t>
  </si>
  <si>
    <t xml:space="preserve">First-of-a-kind SiC epitaxial wafer production facility</t>
  </si>
  <si>
    <t xml:space="preserve">https://europeansting.com/2026/07/14/commission-approves-e659-million-german-state-aid-for-four-new-semiconductor-facilities/</t>
  </si>
  <si>
    <t xml:space="preserve">Vishay Siliconix Itzehoe GmbH Power MOSFET Fab</t>
  </si>
  <si>
    <t xml:space="preserve">€214M</t>
  </si>
  <si>
    <t xml:space="preserve">Silicon power MOSFET production facility</t>
  </si>
  <si>
    <t xml:space="preserve">KLA-Tencor MIE GmbH Metrology Facility</t>
  </si>
  <si>
    <t xml:space="preserve">€74.4M</t>
  </si>
  <si>
    <t xml:space="preserve">Optical overlay and film metrology equipment production facility</t>
  </si>
  <si>
    <t xml:space="preserve">KETEK GmbH Silicon Detector Facility</t>
  </si>
  <si>
    <t xml:space="preserve">€17.9M</t>
  </si>
  <si>
    <t xml:space="preserve">Silicon drift detector semiconductor production facility</t>
  </si>
  <si>
    <t xml:space="preserve">QuantumDiamonds Semiconductor Testing Equipment Facility</t>
  </si>
  <si>
    <t xml:space="preserve">€76M</t>
  </si>
  <si>
    <t xml:space="preserve">Quantum-sensor semiconductor testing and inspection equipment facility</t>
  </si>
  <si>
    <t xml:space="preserve">https://digital-strategy.ec.europa.eu/en/policies/european-chips-act</t>
  </si>
</sst>
</file>

<file path=xl/styles.xml><?xml version="1.0" encoding="utf-8"?>
<styleSheet xmlns="http://schemas.openxmlformats.org/spreadsheetml/2006/main">
  <numFmts count="5">
    <numFmt numFmtId="164" formatCode="General"/>
    <numFmt numFmtId="165" formatCode="0%"/>
    <numFmt numFmtId="166" formatCode="0.0"/>
    <numFmt numFmtId="167" formatCode="\$#,##0.00_);[RED]&quot;($&quot;#,##0.00\)"/>
    <numFmt numFmtId="168" formatCode="\$#,##0_);[RED]&quot;($&quot;#,##0\)"/>
  </numFmts>
  <fonts count="14">
    <font>
      <sz val="12"/>
      <color theme="1"/>
      <name val="Aptos Narrow"/>
      <family val="2"/>
      <charset val="1"/>
    </font>
    <font>
      <sz val="10"/>
      <name val="Arial"/>
      <family val="0"/>
    </font>
    <font>
      <sz val="10"/>
      <name val="Arial"/>
      <family val="0"/>
    </font>
    <font>
      <sz val="10"/>
      <name val="Arial"/>
      <family val="0"/>
    </font>
    <font>
      <b val="true"/>
      <sz val="12"/>
      <color theme="1"/>
      <name val="Aptos Narrow"/>
      <family val="0"/>
      <charset val="1"/>
    </font>
    <font>
      <sz val="12"/>
      <color theme="1"/>
      <name val="Aptos Narrow"/>
      <family val="0"/>
      <charset val="1"/>
    </font>
    <font>
      <sz val="12"/>
      <color rgb="FF000000"/>
      <name val="Aptos Narrow"/>
      <family val="0"/>
      <charset val="1"/>
    </font>
    <font>
      <u val="single"/>
      <sz val="12"/>
      <color theme="10"/>
      <name val="Aptos Narrow"/>
      <family val="2"/>
      <charset val="1"/>
    </font>
    <font>
      <sz val="12"/>
      <color rgb="FF000000"/>
      <name val="Aptos Narrow"/>
      <family val="2"/>
      <charset val="1"/>
    </font>
    <font>
      <b val="true"/>
      <sz val="12"/>
      <color theme="1"/>
      <name val="Aptos Narrow"/>
      <family val="2"/>
      <charset val="1"/>
    </font>
    <font>
      <sz val="11"/>
      <color rgb="FF1F1F1F"/>
      <name val="Arial"/>
      <family val="2"/>
      <charset val="1"/>
    </font>
    <font>
      <b val="true"/>
      <sz val="11"/>
      <color rgb="FF1F1F1F"/>
      <name val="Arial"/>
      <family val="2"/>
      <charset val="1"/>
    </font>
    <font>
      <sz val="12"/>
      <color theme="1"/>
      <name val="Noto Sans CJK SC"/>
      <family val="2"/>
    </font>
    <font>
      <sz val="12"/>
      <color theme="1"/>
      <name val="Arial"/>
      <family val="2"/>
      <charset val="1"/>
    </font>
  </fonts>
  <fills count="3">
    <fill>
      <patternFill patternType="none"/>
    </fill>
    <fill>
      <patternFill patternType="gray125"/>
    </fill>
    <fill>
      <patternFill patternType="solid">
        <fgColor theme="3" tint="0.8999"/>
        <bgColor rgb="FFCCFFFF"/>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true" applyAlignment="true" applyProtection="true">
      <alignment horizontal="general" vertical="bottom" textRotation="0" wrapText="false" indent="0" shrinkToFit="false"/>
      <protection locked="true" hidden="false"/>
    </xf>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6" fontId="0" fillId="0" borderId="1" xfId="0" applyFont="true" applyBorder="true" applyAlignment="true" applyProtection="false">
      <alignment horizontal="left" vertical="center" textRotation="0" wrapText="true" indent="0" shrinkToFit="false"/>
      <protection locked="true" hidden="false"/>
    </xf>
    <xf numFmtId="164" fontId="7" fillId="0" borderId="1" xfId="20" applyFont="true" applyBorder="true" applyAlignment="true" applyProtection="false">
      <alignment horizontal="left" vertical="center" textRotation="0" wrapText="tru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7" fontId="0" fillId="0" borderId="1" xfId="0" applyFont="true" applyBorder="true" applyAlignment="true" applyProtection="false">
      <alignment horizontal="center" vertical="center"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left" vertical="bottom" textRotation="0" wrapText="false" indent="0" shrinkToFit="false"/>
      <protection locked="true" hidden="false"/>
    </xf>
    <xf numFmtId="164" fontId="0" fillId="0" borderId="1"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4" fontId="7" fillId="0" borderId="1" xfId="20" applyFont="true" applyBorder="true" applyAlignment="true" applyProtection="false">
      <alignment horizontal="general" vertical="center" textRotation="0" wrapText="true" indent="0" shrinkToFit="false"/>
      <protection locked="true" hidden="false"/>
    </xf>
    <xf numFmtId="164" fontId="7" fillId="0" borderId="0" xfId="2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8" fontId="0" fillId="0" borderId="1" xfId="0" applyFont="true" applyBorder="true" applyAlignment="true" applyProtection="false">
      <alignment horizontal="center" vertical="center" textRotation="0" wrapText="false" indent="0" shrinkToFit="false"/>
      <protection locked="true" hidden="false"/>
    </xf>
    <xf numFmtId="164" fontId="7" fillId="0" borderId="1" xfId="2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7" fillId="0" borderId="1" xfId="2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8" fontId="0" fillId="0" borderId="1"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set.georgetown.edu/wp-content/uploads/t0432_made_in_china_2025_EN.pdf?" TargetMode="External"/><Relationship Id="rId2" Type="http://schemas.openxmlformats.org/officeDocument/2006/relationships/hyperlink" Target="https://m.bjnews.com.cn/detail/157201078715912.html?" TargetMode="External"/><Relationship Id="rId3" Type="http://schemas.openxmlformats.org/officeDocument/2006/relationships/hyperlink" Target="https://english.www.gov.cn/news/202405/29/content_WS66569746c6d0868f4e8e7987.html?" TargetMode="External"/><Relationship Id="rId4" Type="http://schemas.openxmlformats.org/officeDocument/2006/relationships/hyperlink" Target="https://www.winston.com/en/blogs-and-podcasts/global-trade-and-foreign-policy-insights/china-places-export-controls-on-raw-materials-used-in-semiconductor-manufacturing?" TargetMode="External"/><Relationship Id="rId5" Type="http://schemas.openxmlformats.org/officeDocument/2006/relationships/hyperlink" Target="https://www.jetro.go.jp/ext_images/invest/ijre/report2022/" TargetMode="External"/><Relationship Id="rId6" Type="http://schemas.openxmlformats.org/officeDocument/2006/relationships/hyperlink" Target="https://www.jetro.go.jp/ext_images/invest/ijre/report2022/" TargetMode="External"/><Relationship Id="rId7" Type="http://schemas.openxmlformats.org/officeDocument/2006/relationships/hyperlink" Target="https://www.meti.go.jp/english/policy/0704_001.pdf" TargetMode="External"/><Relationship Id="rId8"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9" Type="http://schemas.openxmlformats.org/officeDocument/2006/relationships/hyperlink" Target="https://www.foi.se/rest-api/report/FOI%20Memo%208937" TargetMode="External"/><Relationship Id="rId10" Type="http://schemas.openxmlformats.org/officeDocument/2006/relationships/hyperlink" Target="https://www.info.gouv.fr/upload/media/organization/0001/01/sites_default_files_contenu_piece-jointe_2022_07_22_-_dossier_de_presse_-_electronique_2030.pdf" TargetMode="External"/><Relationship Id="rId11" Type="http://schemas.openxmlformats.org/officeDocument/2006/relationships/hyperlink" Target="https://www.lawplusltd.com/wp-content/uploads/kalins-pdf/singles/eastern-economic-corridor-act-b-e-2561-thailand.pdf?" TargetMode="External"/><Relationship Id="rId12" Type="http://schemas.openxmlformats.org/officeDocument/2006/relationships/hyperlink" Target="https://osos.boi.go.th/download/BOI_PDF/BOI_A_Guide_2023_EN.pdf?" TargetMode="External"/><Relationship Id="rId13" Type="http://schemas.openxmlformats.org/officeDocument/2006/relationships/hyperlink" Target="https://www.nist.gov/news-events/news/2023/11/chips-america-releases-vision-approximately-3-billion-national-advanced?" TargetMode="External"/><Relationship Id="rId14" Type="http://schemas.openxmlformats.org/officeDocument/2006/relationships/hyperlink" Target="https://www.nist.gov/news-events/news/2024/05/jarvis-leaderboard-large-scale-benchmark-materials-design-methods?utm_source" TargetMode="External"/><Relationship Id="rId15" Type="http://schemas.openxmlformats.org/officeDocument/2006/relationships/hyperlink" Target="https://www.nist.gov/news-events/news/2024/11/chips-america-announces-new-proposed-285-million-award-chips-manufacturing?" TargetMode="External"/><Relationship Id="rId16" Type="http://schemas.openxmlformats.org/officeDocument/2006/relationships/hyperlink" Target="https://www.tomshardware.com/tech-industry/manufacturing/chinese-province-sets-up-dollar15-billion-chip-fund-to-boost-local-semiconductor-industry?" TargetMode="External"/><Relationship Id="rId17" Type="http://schemas.openxmlformats.org/officeDocument/2006/relationships/hyperlink" Target="https://www.tomshardware.com/tech-industry/manufacturing/chinese-province-sets-up-dollar15-billion-chip-fund-to-boost-local-semiconductor-industry?" TargetMode="External"/><Relationship Id="rId18" Type="http://schemas.openxmlformats.org/officeDocument/2006/relationships/hyperlink" Target="https://startup.aliyun.com/info/1092847.html?" TargetMode="External"/><Relationship Id="rId19" Type="http://schemas.openxmlformats.org/officeDocument/2006/relationships/hyperlink" Target="https://startup.aliyun.com/info/1092847.html?" TargetMode="External"/><Relationship Id="rId20" Type="http://schemas.openxmlformats.org/officeDocument/2006/relationships/hyperlink" Target="https://startup.aliyun.com/info/1092847.html?" TargetMode="External"/><Relationship Id="rId21" Type="http://schemas.openxmlformats.org/officeDocument/2006/relationships/hyperlink" Target="https://www.cls.cn/detail/1797798?" TargetMode="External"/><Relationship Id="rId22" Type="http://schemas.openxmlformats.org/officeDocument/2006/relationships/hyperlink" Target="https://www.cls.cn/detail/1797798?" TargetMode="External"/><Relationship Id="rId23" Type="http://schemas.openxmlformats.org/officeDocument/2006/relationships/hyperlink" Target="https://www.hoganlovells.com/en/publications/japans-new-chip-equipment-export-rules-take-effect" TargetMode="External"/><Relationship Id="rId24" Type="http://schemas.openxmlformats.org/officeDocument/2006/relationships/hyperlink" Target="https://globaltradealert.org/state-act/62404-republic-of-korea-government-publishes-national-strategy-for-artificial-intelligence?" TargetMode="External"/><Relationship Id="rId25" Type="http://schemas.openxmlformats.org/officeDocument/2006/relationships/hyperlink" Target="https://www5.cao.go.jp/keizai1/keizaitaisaku/2021/20211119_economic_measures_all.pdf" TargetMode="External"/><Relationship Id="rId26" Type="http://schemas.openxmlformats.org/officeDocument/2006/relationships/hyperlink" Target="https://www.mk.co.kr/en/economy/11493849" TargetMode="External"/><Relationship Id="rId27" Type="http://schemas.openxmlformats.org/officeDocument/2006/relationships/hyperlink" Target="https://www.korea.net/Government/Briefing-Room/Press-Releases/view?articleId=8026;https://outlook.stpi.niar.org.tw/index/news/4b11410096d362580196e5fec2d535c1?" TargetMode="External"/><Relationship Id="rId28" Type="http://schemas.openxmlformats.org/officeDocument/2006/relationships/hyperlink" Target="https://www.motir.go.kr/kor/article/ATCL3c536e4ec/79798/view" TargetMode="External"/><Relationship Id="rId29" Type="http://schemas.openxmlformats.org/officeDocument/2006/relationships/hyperlink" Target="https://www.motir.go.kr/kor/article/ATCL3c536e4ec/79798/view" TargetMode="External"/><Relationship Id="rId30" Type="http://schemas.openxmlformats.org/officeDocument/2006/relationships/hyperlink" Target="https://www.reuters.com/world/asia-pacific/south-koreas-lee-wants-military-airbase-relocated-by-mid-2028-chip-cluster-2026-08-10/" TargetMode="External"/><Relationship Id="rId31" Type="http://schemas.openxmlformats.org/officeDocument/2006/relationships/hyperlink" Target="https://digital-strategy.ec.europa.eu/en/policies/chips-act-2" TargetMode="External"/><Relationship Id="rId32" Type="http://schemas.openxmlformats.org/officeDocument/2006/relationships/hyperlink" Target="https://www.edb.gov.sg/en/business-insights/insights/budget-2026-singapore-commits-s800-million-to-semiconductor-research-and-development-to-deepen-high-impact-tech-capabilities.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trendforce.com/news/2025/09/19/news-japan-pledged-jpy-536-billion-to-micron-escalating-global-semiconductor-subsidy-race/" TargetMode="External"/><Relationship Id="rId2" Type="http://schemas.openxmlformats.org/officeDocument/2006/relationships/hyperlink" Target="https://www.commerce.gov/news/press-releases/2025/01/department-commerce-finalizes-long-term-partnership-natcast-operate?" TargetMode="External"/><Relationship Id="rId3" Type="http://schemas.openxmlformats.org/officeDocument/2006/relationships/hyperlink" Target="https://www.manufacturingusa.com/news/biden-harris-administration-awards-semiconductor-research-corporation-manufacturing-consortium?" TargetMode="External"/><Relationship Id="rId4" Type="http://schemas.openxmlformats.org/officeDocument/2006/relationships/hyperlink" Target="https://www.trendforce.com/news/2025/10/31/" TargetMode="External"/><Relationship Id="rId5" Type="http://schemas.openxmlformats.org/officeDocument/2006/relationships/hyperlink" Target="https://www.trendforce.com/news/2025/11/05/" TargetMode="External"/><Relationship Id="rId6" Type="http://schemas.openxmlformats.org/officeDocument/2006/relationships/hyperlink" Target="https://www.intc.com/news-events/press-releases/detail/1748/intel-and-trump-administration-reach-historic-agreement-to?" TargetMode="External"/><Relationship Id="rId7" Type="http://schemas.openxmlformats.org/officeDocument/2006/relationships/hyperlink" Target="https://www.nist.gov/news-events/news/2026/01/department-commerces-chips-program-announces-letter-intent-usa-rare-earth?" TargetMode="External"/><Relationship Id="rId8" Type="http://schemas.openxmlformats.org/officeDocument/2006/relationships/hyperlink" Target="https://www.nist.gov/news-events/news/2026/01/department-commerces-chips-program-announces-letter-intent-usa-rare-earth?" TargetMode="External"/><Relationship Id="rId9" Type="http://schemas.openxmlformats.org/officeDocument/2006/relationships/hyperlink" Target="https://www.meti.go.jp/policy/economy/economic_security/semicon/nintei_anpohandoutai_keikaku_01.pdf" TargetMode="External"/><Relationship Id="rId10" Type="http://schemas.openxmlformats.org/officeDocument/2006/relationships/hyperlink" Target="https://gov.texas.gov/news/post/governor-abbott-announces-texas-semiconductor-innovation-fund-grant-to-coherent-corp" TargetMode="External"/><Relationship Id="rId11" Type="http://schemas.openxmlformats.org/officeDocument/2006/relationships/hyperlink" Target="https://gov.texas.gov/news/post/governor-abbott-announces-texas-semiconductor-innovation-fund-grant-to-arm-inc" TargetMode="External"/><Relationship Id="rId12" Type="http://schemas.openxmlformats.org/officeDocument/2006/relationships/hyperlink" Target="https://gov.texas.gov/news/post/governor-abbott-announces-texas-semiconductor-innovation-fund-grant-to-texas-am-university" TargetMode="External"/><Relationship Id="rId13" Type="http://schemas.openxmlformats.org/officeDocument/2006/relationships/hyperlink" Target="https://towersemi.com/2026/07/14/0714202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false" showRowColHeaders="true" showZeros="true" rightToLeft="false" tabSelected="false" showOutlineSymbols="true" defaultGridColor="true" view="normal" topLeftCell="A1" colorId="64" zoomScale="62" zoomScaleNormal="62" zoomScalePageLayoutView="100" workbookViewId="0">
      <pane xSplit="11" ySplit="1" topLeftCell="L103" activePane="bottomRight" state="frozen"/>
      <selection pane="topLeft" activeCell="A1" activeCellId="0" sqref="A1"/>
      <selection pane="topRight" activeCell="L1" activeCellId="0" sqref="L1"/>
      <selection pane="bottomLeft" activeCell="A103" activeCellId="0" sqref="A103"/>
      <selection pane="bottomRight" activeCell="A106" activeCellId="0" sqref="A106"/>
    </sheetView>
  </sheetViews>
  <sheetFormatPr defaultColWidth="10.62890625" defaultRowHeight="114.75" zeroHeight="false" outlineLevelRow="0" outlineLevelCol="0"/>
  <cols>
    <col collapsed="false" customWidth="true" hidden="false" outlineLevel="0" max="1" min="1" style="0" width="18.37"/>
    <col collapsed="false" customWidth="true" hidden="false" outlineLevel="0" max="2" min="2" style="0" width="14"/>
    <col collapsed="false" customWidth="true" hidden="false" outlineLevel="0" max="3" min="3" style="0" width="22.63"/>
    <col collapsed="false" customWidth="true" hidden="false" outlineLevel="0" max="4" min="4" style="0" width="18.12"/>
    <col collapsed="false" customWidth="true" hidden="false" outlineLevel="0" max="6" min="5" style="0" width="21.63"/>
    <col collapsed="false" customWidth="true" hidden="false" outlineLevel="0" max="7" min="7" style="0" width="11.12"/>
    <col collapsed="false" customWidth="true" hidden="false" outlineLevel="0" max="8" min="8" style="0" width="18.37"/>
    <col collapsed="false" customWidth="true" hidden="false" outlineLevel="0" max="9" min="9" style="0" width="20.12"/>
    <col collapsed="false" customWidth="true" hidden="false" outlineLevel="0" max="10" min="10" style="0" width="49.87"/>
    <col collapsed="false" customWidth="true" hidden="false" outlineLevel="0" max="11" min="11" style="0" width="32.5"/>
    <col collapsed="false" customWidth="true" hidden="false" outlineLevel="0" max="12" min="12" style="1" width="12.79"/>
    <col collapsed="false" customWidth="true" hidden="false" outlineLevel="0" max="15" min="15" style="0" width="10.37"/>
    <col collapsed="false" customWidth="true" hidden="false" outlineLevel="0" max="16" min="16" style="0" width="20.63"/>
  </cols>
  <sheetData>
    <row r="1" customFormat="false" ht="114.75" hidden="false" customHeight="true" outlineLevel="0" collapsed="false">
      <c r="A1" s="2" t="s">
        <v>0</v>
      </c>
      <c r="B1" s="2" t="s">
        <v>1</v>
      </c>
      <c r="C1" s="2" t="s">
        <v>2</v>
      </c>
      <c r="D1" s="2" t="s">
        <v>3</v>
      </c>
      <c r="E1" s="2" t="s">
        <v>4</v>
      </c>
      <c r="F1" s="2" t="s">
        <v>5</v>
      </c>
      <c r="G1" s="2" t="s">
        <v>6</v>
      </c>
      <c r="H1" s="2" t="s">
        <v>7</v>
      </c>
      <c r="I1" s="2" t="s">
        <v>8</v>
      </c>
      <c r="J1" s="2" t="s">
        <v>9</v>
      </c>
      <c r="K1" s="3" t="s">
        <v>10</v>
      </c>
      <c r="L1" s="3" t="s">
        <v>11</v>
      </c>
      <c r="M1" s="3" t="s">
        <v>12</v>
      </c>
      <c r="N1" s="3" t="s">
        <v>13</v>
      </c>
      <c r="O1" s="3" t="s">
        <v>14</v>
      </c>
      <c r="P1" s="3" t="s">
        <v>15</v>
      </c>
    </row>
    <row r="2" customFormat="false" ht="114.75" hidden="false" customHeight="true" outlineLevel="0" collapsed="false">
      <c r="A2" s="4" t="s">
        <v>16</v>
      </c>
      <c r="B2" s="4" t="n">
        <v>1</v>
      </c>
      <c r="C2" s="4" t="s">
        <v>17</v>
      </c>
      <c r="D2" s="4" t="s">
        <v>17</v>
      </c>
      <c r="E2" s="4" t="n">
        <v>2022</v>
      </c>
      <c r="F2" s="4" t="s">
        <v>18</v>
      </c>
      <c r="G2" s="5" t="s">
        <v>19</v>
      </c>
      <c r="H2" s="4" t="s">
        <v>20</v>
      </c>
      <c r="I2" s="4" t="s">
        <v>21</v>
      </c>
      <c r="J2" s="4" t="s">
        <v>22</v>
      </c>
      <c r="K2" s="6" t="s">
        <v>23</v>
      </c>
      <c r="L2" s="7" t="s">
        <v>24</v>
      </c>
      <c r="M2" s="4" t="n">
        <v>53000</v>
      </c>
      <c r="N2" s="4" t="n">
        <v>53000</v>
      </c>
      <c r="O2" s="8" t="s">
        <v>25</v>
      </c>
      <c r="P2" s="8" t="s">
        <v>26</v>
      </c>
    </row>
    <row r="3" customFormat="false" ht="114.75" hidden="false" customHeight="true" outlineLevel="0" collapsed="false">
      <c r="A3" s="4" t="s">
        <v>16</v>
      </c>
      <c r="B3" s="4" t="n">
        <v>1</v>
      </c>
      <c r="C3" s="4" t="s">
        <v>27</v>
      </c>
      <c r="D3" s="4" t="s">
        <v>28</v>
      </c>
      <c r="E3" s="4" t="n">
        <v>2023</v>
      </c>
      <c r="F3" s="4" t="s">
        <v>18</v>
      </c>
      <c r="G3" s="5" t="s">
        <v>19</v>
      </c>
      <c r="H3" s="4" t="s">
        <v>29</v>
      </c>
      <c r="I3" s="4" t="s">
        <v>30</v>
      </c>
      <c r="J3" s="4" t="s">
        <v>22</v>
      </c>
      <c r="K3" s="6" t="s">
        <v>31</v>
      </c>
      <c r="L3" s="7" t="s">
        <v>24</v>
      </c>
      <c r="M3" s="9" t="s">
        <v>17</v>
      </c>
      <c r="N3" s="9" t="s">
        <v>17</v>
      </c>
      <c r="O3" s="8"/>
      <c r="P3" s="8"/>
    </row>
    <row r="4" customFormat="false" ht="114.75" hidden="false" customHeight="true" outlineLevel="0" collapsed="false">
      <c r="A4" s="4" t="s">
        <v>32</v>
      </c>
      <c r="B4" s="4" t="n">
        <v>2</v>
      </c>
      <c r="C4" s="4" t="s">
        <v>17</v>
      </c>
      <c r="D4" s="4" t="s">
        <v>17</v>
      </c>
      <c r="E4" s="4" t="n">
        <v>2018</v>
      </c>
      <c r="F4" s="4" t="s">
        <v>33</v>
      </c>
      <c r="G4" s="5" t="s">
        <v>19</v>
      </c>
      <c r="H4" s="4" t="s">
        <v>34</v>
      </c>
      <c r="I4" s="10" t="n">
        <v>0.5</v>
      </c>
      <c r="J4" s="4" t="s">
        <v>35</v>
      </c>
      <c r="K4" s="6" t="s">
        <v>36</v>
      </c>
      <c r="L4" s="7" t="s">
        <v>37</v>
      </c>
      <c r="M4" s="4" t="s">
        <v>17</v>
      </c>
      <c r="N4" s="4" t="s">
        <v>17</v>
      </c>
      <c r="O4" s="8" t="s">
        <v>38</v>
      </c>
      <c r="P4" s="8" t="s">
        <v>34</v>
      </c>
    </row>
    <row r="5" customFormat="false" ht="114.75" hidden="false" customHeight="true" outlineLevel="0" collapsed="false">
      <c r="A5" s="4" t="s">
        <v>39</v>
      </c>
      <c r="B5" s="4" t="n">
        <v>3</v>
      </c>
      <c r="C5" s="4" t="s">
        <v>17</v>
      </c>
      <c r="D5" s="4" t="s">
        <v>17</v>
      </c>
      <c r="E5" s="4" t="n">
        <v>2018</v>
      </c>
      <c r="F5" s="4" t="s">
        <v>33</v>
      </c>
      <c r="G5" s="5" t="s">
        <v>19</v>
      </c>
      <c r="H5" s="4" t="s">
        <v>40</v>
      </c>
      <c r="I5" s="4" t="s">
        <v>17</v>
      </c>
      <c r="J5" s="4" t="s">
        <v>41</v>
      </c>
      <c r="K5" s="6" t="s">
        <v>42</v>
      </c>
      <c r="L5" s="7" t="s">
        <v>43</v>
      </c>
      <c r="M5" s="9" t="s">
        <v>17</v>
      </c>
      <c r="N5" s="9" t="s">
        <v>17</v>
      </c>
      <c r="O5" s="9" t="s">
        <v>44</v>
      </c>
      <c r="P5" s="9" t="s">
        <v>45</v>
      </c>
    </row>
    <row r="6" customFormat="false" ht="114.75" hidden="false" customHeight="true" outlineLevel="0" collapsed="false">
      <c r="A6" s="4" t="s">
        <v>46</v>
      </c>
      <c r="B6" s="4" t="n">
        <v>4</v>
      </c>
      <c r="C6" s="4" t="s">
        <v>17</v>
      </c>
      <c r="D6" s="4" t="s">
        <v>17</v>
      </c>
      <c r="E6" s="4" t="n">
        <v>2018</v>
      </c>
      <c r="F6" s="4" t="s">
        <v>47</v>
      </c>
      <c r="G6" s="5" t="s">
        <v>19</v>
      </c>
      <c r="H6" s="4" t="s">
        <v>48</v>
      </c>
      <c r="I6" s="4" t="s">
        <v>17</v>
      </c>
      <c r="J6" s="4" t="s">
        <v>49</v>
      </c>
      <c r="K6" s="6" t="s">
        <v>50</v>
      </c>
      <c r="L6" s="7" t="s">
        <v>51</v>
      </c>
      <c r="M6" s="9" t="s">
        <v>17</v>
      </c>
      <c r="N6" s="9" t="s">
        <v>17</v>
      </c>
      <c r="O6" s="9" t="s">
        <v>44</v>
      </c>
      <c r="P6" s="9" t="s">
        <v>45</v>
      </c>
    </row>
    <row r="7" customFormat="false" ht="114.75" hidden="false" customHeight="true" outlineLevel="0" collapsed="false">
      <c r="A7" s="4" t="s">
        <v>39</v>
      </c>
      <c r="B7" s="4" t="n">
        <v>3</v>
      </c>
      <c r="C7" s="4" t="s">
        <v>52</v>
      </c>
      <c r="D7" s="4" t="s">
        <v>28</v>
      </c>
      <c r="E7" s="4" t="n">
        <v>2022</v>
      </c>
      <c r="F7" s="4" t="s">
        <v>53</v>
      </c>
      <c r="G7" s="5" t="s">
        <v>19</v>
      </c>
      <c r="H7" s="4" t="s">
        <v>40</v>
      </c>
      <c r="I7" s="4" t="s">
        <v>17</v>
      </c>
      <c r="J7" s="4" t="s">
        <v>54</v>
      </c>
      <c r="K7" s="11" t="s">
        <v>55</v>
      </c>
      <c r="L7" s="7" t="s">
        <v>56</v>
      </c>
      <c r="M7" s="9" t="s">
        <v>17</v>
      </c>
      <c r="N7" s="9" t="s">
        <v>17</v>
      </c>
      <c r="O7" s="9" t="s">
        <v>44</v>
      </c>
      <c r="P7" s="8" t="s">
        <v>45</v>
      </c>
    </row>
    <row r="8" customFormat="false" ht="114.75" hidden="false" customHeight="true" outlineLevel="0" collapsed="false">
      <c r="A8" s="4" t="s">
        <v>57</v>
      </c>
      <c r="B8" s="4" t="n">
        <v>5</v>
      </c>
      <c r="C8" s="4" t="s">
        <v>17</v>
      </c>
      <c r="D8" s="4" t="s">
        <v>17</v>
      </c>
      <c r="E8" s="4" t="n">
        <v>2022</v>
      </c>
      <c r="F8" s="4" t="s">
        <v>58</v>
      </c>
      <c r="G8" s="5" t="s">
        <v>19</v>
      </c>
      <c r="H8" s="4" t="s">
        <v>59</v>
      </c>
      <c r="I8" s="4" t="s">
        <v>60</v>
      </c>
      <c r="J8" s="4" t="s">
        <v>61</v>
      </c>
      <c r="K8" s="6" t="s">
        <v>62</v>
      </c>
      <c r="L8" s="12" t="s">
        <v>63</v>
      </c>
      <c r="M8" s="4" t="n">
        <v>20000</v>
      </c>
      <c r="N8" s="4" t="n">
        <v>20000</v>
      </c>
      <c r="O8" s="9" t="s">
        <v>25</v>
      </c>
      <c r="P8" s="8" t="s">
        <v>59</v>
      </c>
    </row>
    <row r="9" customFormat="false" ht="114.75" hidden="false" customHeight="true" outlineLevel="0" collapsed="false">
      <c r="A9" s="4" t="s">
        <v>64</v>
      </c>
      <c r="B9" s="4" t="n">
        <v>6</v>
      </c>
      <c r="C9" s="4" t="s">
        <v>17</v>
      </c>
      <c r="D9" s="4" t="s">
        <v>17</v>
      </c>
      <c r="E9" s="4" t="n">
        <v>2023</v>
      </c>
      <c r="F9" s="4" t="s">
        <v>65</v>
      </c>
      <c r="G9" s="5" t="s">
        <v>19</v>
      </c>
      <c r="H9" s="4" t="s">
        <v>66</v>
      </c>
      <c r="I9" s="4" t="s">
        <v>67</v>
      </c>
      <c r="J9" s="4" t="s">
        <v>68</v>
      </c>
      <c r="K9" s="6" t="s">
        <v>69</v>
      </c>
      <c r="L9" s="7" t="s">
        <v>70</v>
      </c>
      <c r="M9" s="4" t="n">
        <v>1600</v>
      </c>
      <c r="N9" s="4" t="n">
        <v>1600</v>
      </c>
      <c r="O9" s="9" t="s">
        <v>25</v>
      </c>
      <c r="P9" s="8" t="s">
        <v>66</v>
      </c>
    </row>
    <row r="10" customFormat="false" ht="114.75" hidden="false" customHeight="true" outlineLevel="0" collapsed="false">
      <c r="A10" s="4" t="s">
        <v>71</v>
      </c>
      <c r="B10" s="4" t="n">
        <v>7</v>
      </c>
      <c r="C10" s="4" t="s">
        <v>17</v>
      </c>
      <c r="D10" s="4" t="s">
        <v>17</v>
      </c>
      <c r="E10" s="4" t="s">
        <v>72</v>
      </c>
      <c r="F10" s="4" t="s">
        <v>72</v>
      </c>
      <c r="G10" s="5" t="s">
        <v>73</v>
      </c>
      <c r="H10" s="4" t="s">
        <v>74</v>
      </c>
      <c r="I10" s="4" t="s">
        <v>30</v>
      </c>
      <c r="J10" s="4" t="s">
        <v>68</v>
      </c>
      <c r="K10" s="6" t="s">
        <v>75</v>
      </c>
      <c r="L10" s="13" t="s">
        <v>76</v>
      </c>
      <c r="M10" s="9" t="s">
        <v>17</v>
      </c>
      <c r="N10" s="9" t="s">
        <v>17</v>
      </c>
      <c r="O10" s="9" t="s">
        <v>25</v>
      </c>
      <c r="P10" s="9" t="s">
        <v>26</v>
      </c>
    </row>
    <row r="11" customFormat="false" ht="114.75" hidden="false" customHeight="true" outlineLevel="0" collapsed="false">
      <c r="A11" s="4" t="s">
        <v>77</v>
      </c>
      <c r="B11" s="4" t="n">
        <v>8</v>
      </c>
      <c r="C11" s="4" t="s">
        <v>17</v>
      </c>
      <c r="D11" s="4" t="s">
        <v>17</v>
      </c>
      <c r="E11" s="4" t="n">
        <v>2014</v>
      </c>
      <c r="F11" s="4" t="s">
        <v>78</v>
      </c>
      <c r="G11" s="5" t="s">
        <v>73</v>
      </c>
      <c r="H11" s="4" t="s">
        <v>79</v>
      </c>
      <c r="I11" s="4" t="s">
        <v>17</v>
      </c>
      <c r="J11" s="4" t="s">
        <v>80</v>
      </c>
      <c r="K11" s="6" t="s">
        <v>81</v>
      </c>
      <c r="L11" s="13"/>
      <c r="M11" s="9"/>
      <c r="N11" s="9"/>
      <c r="O11" s="9" t="s">
        <v>25</v>
      </c>
      <c r="P11" s="9" t="s">
        <v>82</v>
      </c>
    </row>
    <row r="12" customFormat="false" ht="114.75" hidden="false" customHeight="true" outlineLevel="0" collapsed="false">
      <c r="A12" s="4" t="s">
        <v>77</v>
      </c>
      <c r="B12" s="4" t="n">
        <v>8</v>
      </c>
      <c r="C12" s="4" t="s">
        <v>83</v>
      </c>
      <c r="D12" s="4" t="s">
        <v>28</v>
      </c>
      <c r="E12" s="4" t="n">
        <v>2014</v>
      </c>
      <c r="F12" s="4" t="s">
        <v>84</v>
      </c>
      <c r="G12" s="5" t="s">
        <v>73</v>
      </c>
      <c r="H12" s="4" t="s">
        <v>79</v>
      </c>
      <c r="I12" s="4" t="s">
        <v>85</v>
      </c>
      <c r="J12" s="4" t="s">
        <v>86</v>
      </c>
      <c r="K12" s="6" t="s">
        <v>87</v>
      </c>
      <c r="L12" s="7" t="s">
        <v>88</v>
      </c>
      <c r="M12" s="4" t="n">
        <v>19400</v>
      </c>
      <c r="N12" s="4" t="n">
        <f aca="false">M12</f>
        <v>19400</v>
      </c>
      <c r="O12" s="9" t="s">
        <v>25</v>
      </c>
      <c r="P12" s="8" t="s">
        <v>82</v>
      </c>
    </row>
    <row r="13" customFormat="false" ht="114.75" hidden="false" customHeight="true" outlineLevel="0" collapsed="false">
      <c r="A13" s="4" t="s">
        <v>77</v>
      </c>
      <c r="B13" s="4" t="n">
        <v>8</v>
      </c>
      <c r="C13" s="4" t="s">
        <v>89</v>
      </c>
      <c r="D13" s="4" t="s">
        <v>90</v>
      </c>
      <c r="E13" s="4" t="n">
        <v>2019</v>
      </c>
      <c r="F13" s="4" t="s">
        <v>91</v>
      </c>
      <c r="G13" s="5" t="s">
        <v>73</v>
      </c>
      <c r="H13" s="4" t="s">
        <v>79</v>
      </c>
      <c r="I13" s="4" t="s">
        <v>92</v>
      </c>
      <c r="J13" s="4" t="s">
        <v>86</v>
      </c>
      <c r="K13" s="6" t="s">
        <v>93</v>
      </c>
      <c r="L13" s="13" t="s">
        <v>94</v>
      </c>
      <c r="M13" s="4" t="n">
        <v>28600</v>
      </c>
      <c r="N13" s="4" t="n">
        <f aca="false">M13</f>
        <v>28600</v>
      </c>
      <c r="O13" s="9" t="s">
        <v>25</v>
      </c>
      <c r="P13" s="8" t="s">
        <v>82</v>
      </c>
    </row>
    <row r="14" customFormat="false" ht="114.75" hidden="false" customHeight="true" outlineLevel="0" collapsed="false">
      <c r="A14" s="4" t="s">
        <v>77</v>
      </c>
      <c r="B14" s="4" t="n">
        <v>8</v>
      </c>
      <c r="C14" s="4" t="s">
        <v>95</v>
      </c>
      <c r="D14" s="4" t="s">
        <v>96</v>
      </c>
      <c r="E14" s="4" t="n">
        <v>2024</v>
      </c>
      <c r="F14" s="4" t="s">
        <v>97</v>
      </c>
      <c r="G14" s="5" t="s">
        <v>73</v>
      </c>
      <c r="H14" s="4" t="s">
        <v>79</v>
      </c>
      <c r="I14" s="4" t="s">
        <v>98</v>
      </c>
      <c r="J14" s="4" t="s">
        <v>99</v>
      </c>
      <c r="K14" s="6" t="s">
        <v>100</v>
      </c>
      <c r="L14" s="13" t="s">
        <v>101</v>
      </c>
      <c r="M14" s="4" t="n">
        <v>48200</v>
      </c>
      <c r="N14" s="4" t="n">
        <f aca="false">M14</f>
        <v>48200</v>
      </c>
      <c r="O14" s="9" t="s">
        <v>38</v>
      </c>
      <c r="P14" s="8" t="s">
        <v>82</v>
      </c>
    </row>
    <row r="15" customFormat="false" ht="114.75" hidden="false" customHeight="true" outlineLevel="0" collapsed="false">
      <c r="A15" s="4" t="s">
        <v>102</v>
      </c>
      <c r="B15" s="4" t="n">
        <v>9</v>
      </c>
      <c r="C15" s="4" t="s">
        <v>17</v>
      </c>
      <c r="D15" s="4" t="s">
        <v>17</v>
      </c>
      <c r="E15" s="4" t="n">
        <v>2020</v>
      </c>
      <c r="F15" s="4" t="s">
        <v>47</v>
      </c>
      <c r="G15" s="5" t="s">
        <v>73</v>
      </c>
      <c r="H15" s="4" t="s">
        <v>103</v>
      </c>
      <c r="I15" s="4" t="s">
        <v>17</v>
      </c>
      <c r="J15" s="4" t="s">
        <v>104</v>
      </c>
      <c r="K15" s="6" t="s">
        <v>105</v>
      </c>
      <c r="L15" s="7" t="s">
        <v>106</v>
      </c>
      <c r="M15" s="9" t="s">
        <v>17</v>
      </c>
      <c r="N15" s="4" t="str">
        <f aca="false">M15</f>
        <v>-</v>
      </c>
      <c r="O15" s="9" t="s">
        <v>107</v>
      </c>
      <c r="P15" s="8" t="s">
        <v>59</v>
      </c>
    </row>
    <row r="16" customFormat="false" ht="114.75" hidden="false" customHeight="true" outlineLevel="0" collapsed="false">
      <c r="A16" s="4" t="s">
        <v>108</v>
      </c>
      <c r="B16" s="4" t="n">
        <v>10</v>
      </c>
      <c r="C16" s="4" t="s">
        <v>17</v>
      </c>
      <c r="D16" s="4" t="s">
        <v>17</v>
      </c>
      <c r="E16" s="4" t="n">
        <v>2023</v>
      </c>
      <c r="F16" s="4" t="s">
        <v>109</v>
      </c>
      <c r="G16" s="4" t="s">
        <v>73</v>
      </c>
      <c r="H16" s="4" t="s">
        <v>40</v>
      </c>
      <c r="I16" s="4" t="s">
        <v>17</v>
      </c>
      <c r="J16" s="4" t="s">
        <v>110</v>
      </c>
      <c r="K16" s="6" t="s">
        <v>111</v>
      </c>
      <c r="L16" s="13" t="s">
        <v>112</v>
      </c>
      <c r="M16" s="9" t="s">
        <v>17</v>
      </c>
      <c r="N16" s="4" t="str">
        <f aca="false">M16</f>
        <v>-</v>
      </c>
      <c r="O16" s="9" t="s">
        <v>110</v>
      </c>
      <c r="P16" s="9" t="s">
        <v>45</v>
      </c>
    </row>
    <row r="17" customFormat="false" ht="114.75" hidden="false" customHeight="true" outlineLevel="0" collapsed="false">
      <c r="A17" s="4" t="s">
        <v>113</v>
      </c>
      <c r="B17" s="4" t="n">
        <v>11</v>
      </c>
      <c r="C17" s="4" t="s">
        <v>17</v>
      </c>
      <c r="D17" s="4" t="s">
        <v>17</v>
      </c>
      <c r="E17" s="4" t="n">
        <v>2023</v>
      </c>
      <c r="F17" s="4" t="s">
        <v>114</v>
      </c>
      <c r="G17" s="4" t="s">
        <v>115</v>
      </c>
      <c r="H17" s="4" t="s">
        <v>59</v>
      </c>
      <c r="I17" s="4" t="s">
        <v>17</v>
      </c>
      <c r="J17" s="4" t="s">
        <v>116</v>
      </c>
      <c r="K17" s="6" t="s">
        <v>117</v>
      </c>
      <c r="L17" s="7" t="s">
        <v>118</v>
      </c>
      <c r="M17" s="9" t="s">
        <v>17</v>
      </c>
      <c r="N17" s="4" t="str">
        <f aca="false">M17</f>
        <v>-</v>
      </c>
      <c r="O17" s="9" t="s">
        <v>119</v>
      </c>
      <c r="P17" s="8" t="s">
        <v>59</v>
      </c>
    </row>
    <row r="18" customFormat="false" ht="114.75" hidden="false" customHeight="true" outlineLevel="0" collapsed="false">
      <c r="A18" s="4" t="s">
        <v>120</v>
      </c>
      <c r="B18" s="4" t="n">
        <v>12</v>
      </c>
      <c r="C18" s="4" t="s">
        <v>17</v>
      </c>
      <c r="D18" s="4" t="s">
        <v>17</v>
      </c>
      <c r="E18" s="4" t="n">
        <v>2023</v>
      </c>
      <c r="F18" s="4" t="s">
        <v>121</v>
      </c>
      <c r="G18" s="4" t="s">
        <v>115</v>
      </c>
      <c r="H18" s="4" t="s">
        <v>66</v>
      </c>
      <c r="I18" s="4" t="s">
        <v>122</v>
      </c>
      <c r="J18" s="4" t="s">
        <v>123</v>
      </c>
      <c r="K18" s="6" t="s">
        <v>124</v>
      </c>
      <c r="L18" s="7" t="s">
        <v>125</v>
      </c>
      <c r="M18" s="9" t="n">
        <v>9800</v>
      </c>
      <c r="N18" s="4" t="n">
        <f aca="false">M18</f>
        <v>9800</v>
      </c>
      <c r="O18" s="9" t="s">
        <v>119</v>
      </c>
      <c r="P18" s="9" t="s">
        <v>26</v>
      </c>
    </row>
    <row r="19" customFormat="false" ht="114.75" hidden="false" customHeight="true" outlineLevel="0" collapsed="false">
      <c r="A19" s="4" t="s">
        <v>126</v>
      </c>
      <c r="B19" s="4" t="n">
        <v>13</v>
      </c>
      <c r="C19" s="4" t="s">
        <v>17</v>
      </c>
      <c r="D19" s="4" t="s">
        <v>17</v>
      </c>
      <c r="E19" s="4" t="n">
        <v>2019</v>
      </c>
      <c r="F19" s="4" t="s">
        <v>127</v>
      </c>
      <c r="G19" s="4" t="s">
        <v>128</v>
      </c>
      <c r="H19" s="4" t="s">
        <v>40</v>
      </c>
      <c r="I19" s="4" t="s">
        <v>17</v>
      </c>
      <c r="J19" s="4" t="s">
        <v>110</v>
      </c>
      <c r="K19" s="6" t="s">
        <v>129</v>
      </c>
      <c r="L19" s="7" t="s">
        <v>130</v>
      </c>
      <c r="M19" s="9" t="s">
        <v>17</v>
      </c>
      <c r="N19" s="4" t="str">
        <f aca="false">M19</f>
        <v>-</v>
      </c>
      <c r="O19" s="9" t="s">
        <v>110</v>
      </c>
      <c r="P19" s="9" t="s">
        <v>45</v>
      </c>
    </row>
    <row r="20" customFormat="false" ht="114.75" hidden="false" customHeight="true" outlineLevel="0" collapsed="false">
      <c r="A20" s="4" t="s">
        <v>131</v>
      </c>
      <c r="B20" s="4" t="n">
        <v>14</v>
      </c>
      <c r="C20" s="4" t="s">
        <v>17</v>
      </c>
      <c r="D20" s="4" t="s">
        <v>17</v>
      </c>
      <c r="E20" s="4" t="n">
        <v>2024</v>
      </c>
      <c r="F20" s="4" t="s">
        <v>132</v>
      </c>
      <c r="G20" s="4" t="s">
        <v>128</v>
      </c>
      <c r="H20" s="4" t="s">
        <v>133</v>
      </c>
      <c r="I20" s="4" t="s">
        <v>134</v>
      </c>
      <c r="J20" s="4" t="s">
        <v>135</v>
      </c>
      <c r="K20" s="6" t="s">
        <v>136</v>
      </c>
      <c r="L20" s="7" t="s">
        <v>137</v>
      </c>
      <c r="M20" s="4" t="n">
        <v>65000</v>
      </c>
      <c r="N20" s="4" t="n">
        <f aca="false">M20</f>
        <v>65000</v>
      </c>
      <c r="O20" s="9" t="s">
        <v>107</v>
      </c>
      <c r="P20" s="9" t="s">
        <v>26</v>
      </c>
    </row>
    <row r="21" customFormat="false" ht="114.75" hidden="false" customHeight="true" outlineLevel="0" collapsed="false">
      <c r="A21" s="4" t="s">
        <v>138</v>
      </c>
      <c r="B21" s="4" t="n">
        <v>15</v>
      </c>
      <c r="C21" s="4" t="s">
        <v>17</v>
      </c>
      <c r="D21" s="4" t="s">
        <v>17</v>
      </c>
      <c r="E21" s="4" t="n">
        <v>2021</v>
      </c>
      <c r="F21" s="4" t="s">
        <v>139</v>
      </c>
      <c r="G21" s="4" t="s">
        <v>128</v>
      </c>
      <c r="H21" s="4" t="s">
        <v>140</v>
      </c>
      <c r="I21" s="4" t="s">
        <v>17</v>
      </c>
      <c r="J21" s="4" t="s">
        <v>141</v>
      </c>
      <c r="K21" s="6" t="s">
        <v>142</v>
      </c>
      <c r="L21" s="13" t="s">
        <v>143</v>
      </c>
      <c r="M21" s="4"/>
      <c r="N21" s="4"/>
      <c r="O21" s="9" t="s">
        <v>107</v>
      </c>
      <c r="P21" s="9" t="s">
        <v>26</v>
      </c>
    </row>
    <row r="22" customFormat="false" ht="114.75" hidden="false" customHeight="true" outlineLevel="0" collapsed="false">
      <c r="A22" s="4" t="s">
        <v>138</v>
      </c>
      <c r="B22" s="4" t="n">
        <v>15</v>
      </c>
      <c r="C22" s="4" t="s">
        <v>144</v>
      </c>
      <c r="D22" s="4" t="s">
        <v>28</v>
      </c>
      <c r="E22" s="4" t="n">
        <v>2021</v>
      </c>
      <c r="F22" s="4" t="s">
        <v>139</v>
      </c>
      <c r="G22" s="4" t="s">
        <v>128</v>
      </c>
      <c r="H22" s="4" t="s">
        <v>140</v>
      </c>
      <c r="I22" s="4" t="s">
        <v>145</v>
      </c>
      <c r="J22" s="4" t="s">
        <v>141</v>
      </c>
      <c r="K22" s="6" t="s">
        <v>146</v>
      </c>
      <c r="L22" s="13" t="s">
        <v>143</v>
      </c>
      <c r="M22" s="4" t="n">
        <v>17100</v>
      </c>
      <c r="N22" s="4" t="n">
        <f aca="false">M22</f>
        <v>17100</v>
      </c>
      <c r="O22" s="9" t="s">
        <v>38</v>
      </c>
      <c r="P22" s="9" t="s">
        <v>66</v>
      </c>
    </row>
    <row r="23" customFormat="false" ht="114.75" hidden="false" customHeight="true" outlineLevel="0" collapsed="false">
      <c r="A23" s="4" t="s">
        <v>147</v>
      </c>
      <c r="B23" s="4" t="n">
        <v>16</v>
      </c>
      <c r="C23" s="4" t="s">
        <v>17</v>
      </c>
      <c r="D23" s="4" t="s">
        <v>17</v>
      </c>
      <c r="E23" s="4" t="n">
        <v>2022</v>
      </c>
      <c r="F23" s="4" t="s">
        <v>53</v>
      </c>
      <c r="G23" s="4" t="s">
        <v>128</v>
      </c>
      <c r="H23" s="4" t="s">
        <v>148</v>
      </c>
      <c r="I23" s="4" t="s">
        <v>149</v>
      </c>
      <c r="J23" s="4" t="s">
        <v>150</v>
      </c>
      <c r="K23" s="6" t="s">
        <v>151</v>
      </c>
      <c r="L23" s="13" t="s">
        <v>152</v>
      </c>
      <c r="M23" s="9" t="n">
        <v>16500</v>
      </c>
      <c r="N23" s="4" t="n">
        <f aca="false">M23</f>
        <v>16500</v>
      </c>
      <c r="O23" s="9" t="s">
        <v>25</v>
      </c>
      <c r="P23" s="9" t="s">
        <v>66</v>
      </c>
    </row>
    <row r="24" customFormat="false" ht="114.75" hidden="false" customHeight="true" outlineLevel="0" collapsed="false">
      <c r="A24" s="4" t="s">
        <v>138</v>
      </c>
      <c r="B24" s="4" t="n">
        <v>15</v>
      </c>
      <c r="C24" s="4" t="s">
        <v>153</v>
      </c>
      <c r="D24" s="4" t="s">
        <v>90</v>
      </c>
      <c r="E24" s="4" t="n">
        <v>2021</v>
      </c>
      <c r="F24" s="4" t="s">
        <v>139</v>
      </c>
      <c r="G24" s="4" t="s">
        <v>128</v>
      </c>
      <c r="H24" s="4" t="s">
        <v>66</v>
      </c>
      <c r="I24" s="4" t="s">
        <v>154</v>
      </c>
      <c r="J24" s="4" t="s">
        <v>155</v>
      </c>
      <c r="K24" s="6" t="s">
        <v>156</v>
      </c>
      <c r="L24" s="13" t="s">
        <v>157</v>
      </c>
      <c r="M24" s="9" t="n">
        <v>16500</v>
      </c>
      <c r="N24" s="4" t="n">
        <v>16500</v>
      </c>
      <c r="O24" s="9" t="s">
        <v>119</v>
      </c>
      <c r="P24" s="9" t="s">
        <v>66</v>
      </c>
    </row>
    <row r="25" customFormat="false" ht="114.75" hidden="false" customHeight="true" outlineLevel="0" collapsed="false">
      <c r="A25" s="4" t="s">
        <v>158</v>
      </c>
      <c r="B25" s="4" t="n">
        <v>18</v>
      </c>
      <c r="C25" s="4" t="s">
        <v>17</v>
      </c>
      <c r="D25" s="4" t="s">
        <v>17</v>
      </c>
      <c r="E25" s="4" t="n">
        <v>2023</v>
      </c>
      <c r="F25" s="4" t="s">
        <v>109</v>
      </c>
      <c r="G25" s="4" t="s">
        <v>128</v>
      </c>
      <c r="H25" s="4" t="s">
        <v>40</v>
      </c>
      <c r="I25" s="4" t="s">
        <v>17</v>
      </c>
      <c r="J25" s="4" t="s">
        <v>38</v>
      </c>
      <c r="K25" s="6" t="s">
        <v>159</v>
      </c>
      <c r="L25" s="7" t="s">
        <v>160</v>
      </c>
      <c r="M25" s="9" t="s">
        <v>17</v>
      </c>
      <c r="N25" s="4" t="str">
        <f aca="false">M25</f>
        <v>-</v>
      </c>
      <c r="O25" s="9" t="s">
        <v>38</v>
      </c>
      <c r="P25" s="9" t="s">
        <v>45</v>
      </c>
    </row>
    <row r="26" customFormat="false" ht="114.75" hidden="false" customHeight="true" outlineLevel="0" collapsed="false">
      <c r="A26" s="4" t="s">
        <v>161</v>
      </c>
      <c r="B26" s="4" t="n">
        <v>19</v>
      </c>
      <c r="C26" s="4" t="s">
        <v>17</v>
      </c>
      <c r="D26" s="4" t="s">
        <v>17</v>
      </c>
      <c r="E26" s="4" t="n">
        <v>2019</v>
      </c>
      <c r="F26" s="4" t="s">
        <v>162</v>
      </c>
      <c r="G26" s="4" t="s">
        <v>163</v>
      </c>
      <c r="H26" s="4" t="s">
        <v>148</v>
      </c>
      <c r="I26" s="4" t="s">
        <v>164</v>
      </c>
      <c r="J26" s="4" t="s">
        <v>165</v>
      </c>
      <c r="K26" s="6" t="s">
        <v>166</v>
      </c>
      <c r="L26" s="13" t="s">
        <v>167</v>
      </c>
      <c r="M26" s="9" t="n">
        <v>745</v>
      </c>
      <c r="N26" s="4" t="n">
        <f aca="false">M26</f>
        <v>745</v>
      </c>
      <c r="O26" s="9" t="s">
        <v>107</v>
      </c>
      <c r="P26" s="9" t="s">
        <v>26</v>
      </c>
    </row>
    <row r="27" customFormat="false" ht="114.75" hidden="false" customHeight="true" outlineLevel="0" collapsed="false">
      <c r="A27" s="4" t="s">
        <v>168</v>
      </c>
      <c r="B27" s="4" t="n">
        <v>20</v>
      </c>
      <c r="C27" s="4" t="s">
        <v>17</v>
      </c>
      <c r="D27" s="4" t="s">
        <v>17</v>
      </c>
      <c r="E27" s="4" t="n">
        <v>2021</v>
      </c>
      <c r="F27" s="4" t="s">
        <v>139</v>
      </c>
      <c r="G27" s="4" t="s">
        <v>163</v>
      </c>
      <c r="H27" s="4" t="s">
        <v>169</v>
      </c>
      <c r="I27" s="4" t="s">
        <v>170</v>
      </c>
      <c r="J27" s="4" t="s">
        <v>171</v>
      </c>
      <c r="K27" s="6" t="s">
        <v>172</v>
      </c>
      <c r="L27" s="7" t="s">
        <v>173</v>
      </c>
      <c r="M27" s="9" t="n">
        <v>677</v>
      </c>
      <c r="N27" s="4" t="n">
        <f aca="false">M27</f>
        <v>677</v>
      </c>
      <c r="O27" s="9" t="s">
        <v>107</v>
      </c>
      <c r="P27" s="9" t="s">
        <v>26</v>
      </c>
    </row>
    <row r="28" customFormat="false" ht="114.75" hidden="false" customHeight="true" outlineLevel="0" collapsed="false">
      <c r="A28" s="4" t="s">
        <v>174</v>
      </c>
      <c r="B28" s="4" t="n">
        <v>21</v>
      </c>
      <c r="C28" s="4" t="s">
        <v>17</v>
      </c>
      <c r="D28" s="4" t="s">
        <v>17</v>
      </c>
      <c r="E28" s="4" t="n">
        <v>2023</v>
      </c>
      <c r="F28" s="4" t="s">
        <v>175</v>
      </c>
      <c r="G28" s="4" t="s">
        <v>163</v>
      </c>
      <c r="H28" s="4" t="s">
        <v>59</v>
      </c>
      <c r="I28" s="4" t="s">
        <v>17</v>
      </c>
      <c r="J28" s="4" t="s">
        <v>104</v>
      </c>
      <c r="K28" s="6" t="s">
        <v>176</v>
      </c>
      <c r="L28" s="7" t="s">
        <v>177</v>
      </c>
      <c r="M28" s="9" t="s">
        <v>17</v>
      </c>
      <c r="N28" s="4" t="str">
        <f aca="false">M28</f>
        <v>-</v>
      </c>
      <c r="O28" s="9" t="s">
        <v>25</v>
      </c>
      <c r="P28" s="9" t="s">
        <v>59</v>
      </c>
    </row>
    <row r="29" customFormat="false" ht="114.75" hidden="false" customHeight="true" outlineLevel="0" collapsed="false">
      <c r="A29" s="4" t="s">
        <v>174</v>
      </c>
      <c r="B29" s="4" t="n">
        <v>21</v>
      </c>
      <c r="C29" s="4" t="s">
        <v>178</v>
      </c>
      <c r="D29" s="4" t="s">
        <v>28</v>
      </c>
      <c r="E29" s="4" t="n">
        <v>2025</v>
      </c>
      <c r="F29" s="4" t="s">
        <v>179</v>
      </c>
      <c r="G29" s="4" t="s">
        <v>163</v>
      </c>
      <c r="H29" s="4" t="s">
        <v>59</v>
      </c>
      <c r="I29" s="4" t="s">
        <v>17</v>
      </c>
      <c r="J29" s="4" t="s">
        <v>104</v>
      </c>
      <c r="K29" s="6" t="s">
        <v>180</v>
      </c>
      <c r="L29" s="7" t="s">
        <v>181</v>
      </c>
      <c r="M29" s="9" t="s">
        <v>17</v>
      </c>
      <c r="N29" s="4" t="str">
        <f aca="false">M29</f>
        <v>-</v>
      </c>
      <c r="O29" s="9" t="s">
        <v>25</v>
      </c>
      <c r="P29" s="9" t="s">
        <v>59</v>
      </c>
    </row>
    <row r="30" customFormat="false" ht="114.75" hidden="false" customHeight="true" outlineLevel="0" collapsed="false">
      <c r="A30" s="4" t="s">
        <v>182</v>
      </c>
      <c r="B30" s="4" t="n">
        <v>22</v>
      </c>
      <c r="C30" s="4" t="s">
        <v>17</v>
      </c>
      <c r="D30" s="4" t="s">
        <v>17</v>
      </c>
      <c r="E30" s="4" t="n">
        <v>2024</v>
      </c>
      <c r="F30" s="4" t="s">
        <v>132</v>
      </c>
      <c r="G30" s="4" t="s">
        <v>163</v>
      </c>
      <c r="H30" s="4" t="s">
        <v>74</v>
      </c>
      <c r="I30" s="4" t="s">
        <v>17</v>
      </c>
      <c r="J30" s="4" t="s">
        <v>25</v>
      </c>
      <c r="K30" s="6" t="s">
        <v>183</v>
      </c>
      <c r="L30" s="13" t="s">
        <v>184</v>
      </c>
      <c r="M30" s="9" t="s">
        <v>17</v>
      </c>
      <c r="N30" s="4" t="str">
        <f aca="false">M30</f>
        <v>-</v>
      </c>
      <c r="O30" s="9" t="s">
        <v>25</v>
      </c>
      <c r="P30" s="9" t="s">
        <v>74</v>
      </c>
    </row>
    <row r="31" customFormat="false" ht="114.75" hidden="false" customHeight="true" outlineLevel="0" collapsed="false">
      <c r="A31" s="4" t="s">
        <v>185</v>
      </c>
      <c r="B31" s="4" t="n">
        <v>23</v>
      </c>
      <c r="C31" s="4" t="s">
        <v>17</v>
      </c>
      <c r="D31" s="4" t="s">
        <v>17</v>
      </c>
      <c r="E31" s="4" t="n">
        <v>2024</v>
      </c>
      <c r="F31" s="4" t="s">
        <v>132</v>
      </c>
      <c r="G31" s="4" t="s">
        <v>163</v>
      </c>
      <c r="H31" s="4" t="s">
        <v>186</v>
      </c>
      <c r="I31" s="4" t="s">
        <v>187</v>
      </c>
      <c r="J31" s="4" t="s">
        <v>188</v>
      </c>
      <c r="K31" s="6" t="s">
        <v>189</v>
      </c>
      <c r="L31" s="7" t="s">
        <v>190</v>
      </c>
      <c r="M31" s="4" t="n">
        <v>19000</v>
      </c>
      <c r="N31" s="4" t="n">
        <f aca="false">M31</f>
        <v>19000</v>
      </c>
      <c r="O31" s="9" t="s">
        <v>107</v>
      </c>
      <c r="P31" s="9" t="s">
        <v>82</v>
      </c>
    </row>
    <row r="32" customFormat="false" ht="114.75" hidden="false" customHeight="true" outlineLevel="0" collapsed="false">
      <c r="A32" s="4" t="s">
        <v>191</v>
      </c>
      <c r="B32" s="4" t="n">
        <v>25</v>
      </c>
      <c r="C32" s="4" t="s">
        <v>17</v>
      </c>
      <c r="D32" s="4" t="s">
        <v>17</v>
      </c>
      <c r="E32" s="4" t="n">
        <v>2022</v>
      </c>
      <c r="F32" s="4" t="s">
        <v>192</v>
      </c>
      <c r="G32" s="4" t="s">
        <v>193</v>
      </c>
      <c r="H32" s="4" t="s">
        <v>194</v>
      </c>
      <c r="I32" s="4" t="s">
        <v>195</v>
      </c>
      <c r="J32" s="4" t="s">
        <v>196</v>
      </c>
      <c r="K32" s="6" t="s">
        <v>197</v>
      </c>
      <c r="L32" s="7" t="s">
        <v>198</v>
      </c>
      <c r="M32" s="4" t="n">
        <v>43000</v>
      </c>
      <c r="N32" s="4" t="n">
        <f aca="false">M32*1.17</f>
        <v>50310</v>
      </c>
      <c r="O32" s="9" t="s">
        <v>107</v>
      </c>
      <c r="P32" s="9" t="s">
        <v>26</v>
      </c>
    </row>
    <row r="33" customFormat="false" ht="114.75" hidden="false" customHeight="true" outlineLevel="0" collapsed="false">
      <c r="A33" s="4" t="s">
        <v>199</v>
      </c>
      <c r="B33" s="4" t="n">
        <v>26</v>
      </c>
      <c r="C33" s="4" t="s">
        <v>17</v>
      </c>
      <c r="D33" s="4" t="s">
        <v>17</v>
      </c>
      <c r="E33" s="4" t="n">
        <v>2018</v>
      </c>
      <c r="F33" s="4" t="s">
        <v>127</v>
      </c>
      <c r="G33" s="4" t="s">
        <v>193</v>
      </c>
      <c r="H33" s="4" t="s">
        <v>66</v>
      </c>
      <c r="I33" s="4" t="s">
        <v>200</v>
      </c>
      <c r="J33" s="4" t="s">
        <v>80</v>
      </c>
      <c r="K33" s="6" t="s">
        <v>201</v>
      </c>
      <c r="L33" s="7" t="s">
        <v>202</v>
      </c>
      <c r="M33" s="4" t="n">
        <v>1900</v>
      </c>
      <c r="N33" s="4" t="n">
        <f aca="false">M33*1.17</f>
        <v>2223</v>
      </c>
      <c r="O33" s="9" t="s">
        <v>107</v>
      </c>
      <c r="P33" s="9" t="s">
        <v>66</v>
      </c>
    </row>
    <row r="34" customFormat="false" ht="114.75" hidden="false" customHeight="true" outlineLevel="0" collapsed="false">
      <c r="A34" s="4" t="s">
        <v>191</v>
      </c>
      <c r="B34" s="4" t="n">
        <v>25</v>
      </c>
      <c r="C34" s="4" t="s">
        <v>203</v>
      </c>
      <c r="D34" s="4" t="s">
        <v>28</v>
      </c>
      <c r="E34" s="4" t="n">
        <v>2023</v>
      </c>
      <c r="F34" s="4" t="s">
        <v>204</v>
      </c>
      <c r="G34" s="4" t="s">
        <v>193</v>
      </c>
      <c r="H34" s="4" t="s">
        <v>66</v>
      </c>
      <c r="I34" s="4" t="s">
        <v>205</v>
      </c>
      <c r="J34" s="4" t="s">
        <v>141</v>
      </c>
      <c r="K34" s="6" t="s">
        <v>206</v>
      </c>
      <c r="L34" s="7" t="s">
        <v>207</v>
      </c>
      <c r="M34" s="4" t="n">
        <v>8100</v>
      </c>
      <c r="N34" s="4" t="n">
        <f aca="false">M34*1.17</f>
        <v>9477</v>
      </c>
      <c r="O34" s="9" t="s">
        <v>107</v>
      </c>
      <c r="P34" s="9" t="s">
        <v>66</v>
      </c>
    </row>
    <row r="35" customFormat="false" ht="114.75" hidden="false" customHeight="true" outlineLevel="0" collapsed="false">
      <c r="A35" s="4" t="s">
        <v>208</v>
      </c>
      <c r="B35" s="4" t="n">
        <v>28</v>
      </c>
      <c r="C35" s="4" t="s">
        <v>17</v>
      </c>
      <c r="D35" s="4" t="s">
        <v>17</v>
      </c>
      <c r="E35" s="4" t="n">
        <v>2021</v>
      </c>
      <c r="F35" s="4" t="s">
        <v>139</v>
      </c>
      <c r="G35" s="4" t="s">
        <v>209</v>
      </c>
      <c r="H35" s="4" t="s">
        <v>66</v>
      </c>
      <c r="I35" s="4" t="s">
        <v>210</v>
      </c>
      <c r="J35" s="4" t="s">
        <v>211</v>
      </c>
      <c r="K35" s="6" t="s">
        <v>212</v>
      </c>
      <c r="L35" s="13" t="s">
        <v>213</v>
      </c>
      <c r="M35" s="4" t="n">
        <v>5250</v>
      </c>
      <c r="N35" s="4" t="n">
        <f aca="false">M35*1.17</f>
        <v>6142.5</v>
      </c>
      <c r="O35" s="9" t="s">
        <v>25</v>
      </c>
      <c r="P35" s="9" t="s">
        <v>66</v>
      </c>
    </row>
    <row r="36" customFormat="false" ht="114.75" hidden="false" customHeight="true" outlineLevel="0" collapsed="false">
      <c r="A36" s="4" t="s">
        <v>214</v>
      </c>
      <c r="B36" s="4" t="n">
        <v>29</v>
      </c>
      <c r="C36" s="4" t="s">
        <v>17</v>
      </c>
      <c r="D36" s="4" t="s">
        <v>17</v>
      </c>
      <c r="E36" s="4" t="n">
        <v>2023</v>
      </c>
      <c r="F36" s="4" t="s">
        <v>109</v>
      </c>
      <c r="G36" s="4" t="s">
        <v>215</v>
      </c>
      <c r="H36" s="4" t="s">
        <v>40</v>
      </c>
      <c r="I36" s="4" t="s">
        <v>17</v>
      </c>
      <c r="J36" s="4" t="s">
        <v>38</v>
      </c>
      <c r="K36" s="6" t="s">
        <v>216</v>
      </c>
      <c r="L36" s="7" t="s">
        <v>217</v>
      </c>
      <c r="M36" s="9" t="s">
        <v>17</v>
      </c>
      <c r="N36" s="4" t="s">
        <v>17</v>
      </c>
      <c r="O36" s="9" t="s">
        <v>38</v>
      </c>
      <c r="P36" s="9" t="s">
        <v>45</v>
      </c>
    </row>
    <row r="37" customFormat="false" ht="114.75" hidden="false" customHeight="true" outlineLevel="0" collapsed="false">
      <c r="A37" s="4" t="s">
        <v>218</v>
      </c>
      <c r="B37" s="4" t="n">
        <v>30</v>
      </c>
      <c r="C37" s="4" t="s">
        <v>17</v>
      </c>
      <c r="D37" s="4" t="s">
        <v>17</v>
      </c>
      <c r="E37" s="4" t="n">
        <v>2018</v>
      </c>
      <c r="F37" s="4" t="s">
        <v>219</v>
      </c>
      <c r="G37" s="4" t="s">
        <v>209</v>
      </c>
      <c r="H37" s="4" t="s">
        <v>66</v>
      </c>
      <c r="I37" s="4" t="s">
        <v>220</v>
      </c>
      <c r="J37" s="4" t="s">
        <v>221</v>
      </c>
      <c r="K37" s="6" t="s">
        <v>222</v>
      </c>
      <c r="L37" s="7" t="s">
        <v>223</v>
      </c>
      <c r="M37" s="4" t="n">
        <v>1100</v>
      </c>
      <c r="N37" s="4" t="n">
        <f aca="false">M37*1.17</f>
        <v>1287</v>
      </c>
      <c r="O37" s="9" t="s">
        <v>119</v>
      </c>
      <c r="P37" s="9" t="s">
        <v>66</v>
      </c>
      <c r="R37" s="14"/>
    </row>
    <row r="38" customFormat="false" ht="114.75" hidden="false" customHeight="true" outlineLevel="0" collapsed="false">
      <c r="A38" s="4" t="s">
        <v>224</v>
      </c>
      <c r="B38" s="4" t="n">
        <v>31</v>
      </c>
      <c r="C38" s="4" t="s">
        <v>17</v>
      </c>
      <c r="D38" s="4" t="s">
        <v>17</v>
      </c>
      <c r="E38" s="4" t="n">
        <v>2013</v>
      </c>
      <c r="F38" s="4" t="s">
        <v>225</v>
      </c>
      <c r="G38" s="4" t="s">
        <v>209</v>
      </c>
      <c r="H38" s="4" t="s">
        <v>66</v>
      </c>
      <c r="I38" s="4" t="s">
        <v>226</v>
      </c>
      <c r="J38" s="4" t="s">
        <v>227</v>
      </c>
      <c r="K38" s="6" t="s">
        <v>228</v>
      </c>
      <c r="L38" s="7" t="s">
        <v>223</v>
      </c>
      <c r="M38" s="4" t="n">
        <v>600</v>
      </c>
      <c r="N38" s="4" t="n">
        <f aca="false">M38*1.17</f>
        <v>702</v>
      </c>
      <c r="O38" s="9" t="s">
        <v>119</v>
      </c>
      <c r="P38" s="9" t="s">
        <v>66</v>
      </c>
      <c r="R38" s="14"/>
    </row>
    <row r="39" customFormat="false" ht="114.75" hidden="false" customHeight="true" outlineLevel="0" collapsed="false">
      <c r="A39" s="4" t="s">
        <v>229</v>
      </c>
      <c r="B39" s="4" t="n">
        <v>32</v>
      </c>
      <c r="C39" s="4" t="s">
        <v>17</v>
      </c>
      <c r="D39" s="4" t="s">
        <v>17</v>
      </c>
      <c r="E39" s="4" t="n">
        <v>2023</v>
      </c>
      <c r="F39" s="4" t="s">
        <v>230</v>
      </c>
      <c r="G39" s="4" t="s">
        <v>231</v>
      </c>
      <c r="H39" s="4" t="s">
        <v>66</v>
      </c>
      <c r="I39" s="4" t="s">
        <v>232</v>
      </c>
      <c r="J39" s="4" t="s">
        <v>233</v>
      </c>
      <c r="K39" s="6" t="s">
        <v>234</v>
      </c>
      <c r="L39" s="7" t="s">
        <v>235</v>
      </c>
      <c r="M39" s="4" t="n">
        <v>1000</v>
      </c>
      <c r="N39" s="4" t="n">
        <f aca="false">M39*1.34</f>
        <v>1340</v>
      </c>
      <c r="O39" s="9" t="s">
        <v>107</v>
      </c>
      <c r="P39" s="9" t="s">
        <v>66</v>
      </c>
    </row>
    <row r="40" customFormat="false" ht="114.75" hidden="false" customHeight="true" outlineLevel="0" collapsed="false">
      <c r="A40" s="4" t="s">
        <v>236</v>
      </c>
      <c r="B40" s="4" t="n">
        <v>33</v>
      </c>
      <c r="C40" s="4" t="s">
        <v>17</v>
      </c>
      <c r="D40" s="4" t="s">
        <v>17</v>
      </c>
      <c r="E40" s="4" t="n">
        <v>2020</v>
      </c>
      <c r="F40" s="4" t="s">
        <v>237</v>
      </c>
      <c r="G40" s="4" t="s">
        <v>238</v>
      </c>
      <c r="H40" s="4" t="s">
        <v>239</v>
      </c>
      <c r="I40" s="4" t="s">
        <v>240</v>
      </c>
      <c r="J40" s="4" t="s">
        <v>227</v>
      </c>
      <c r="K40" s="6" t="s">
        <v>241</v>
      </c>
      <c r="L40" s="7" t="s">
        <v>242</v>
      </c>
      <c r="M40" s="4" t="n">
        <v>7720</v>
      </c>
      <c r="N40" s="4" t="n">
        <f aca="false">M40</f>
        <v>7720</v>
      </c>
      <c r="O40" s="9" t="s">
        <v>107</v>
      </c>
      <c r="P40" s="9" t="s">
        <v>26</v>
      </c>
    </row>
    <row r="41" customFormat="false" ht="114.75" hidden="false" customHeight="true" outlineLevel="0" collapsed="false">
      <c r="A41" s="4" t="s">
        <v>243</v>
      </c>
      <c r="B41" s="4" t="n">
        <v>34</v>
      </c>
      <c r="C41" s="4" t="s">
        <v>17</v>
      </c>
      <c r="D41" s="4" t="s">
        <v>17</v>
      </c>
      <c r="E41" s="4" t="n">
        <v>2015</v>
      </c>
      <c r="F41" s="4" t="s">
        <v>244</v>
      </c>
      <c r="G41" s="4" t="s">
        <v>238</v>
      </c>
      <c r="H41" s="4" t="s">
        <v>66</v>
      </c>
      <c r="I41" s="4" t="s">
        <v>245</v>
      </c>
      <c r="J41" s="4" t="s">
        <v>119</v>
      </c>
      <c r="K41" s="6" t="s">
        <v>246</v>
      </c>
      <c r="L41" s="7" t="s">
        <v>247</v>
      </c>
      <c r="M41" s="4" t="n">
        <v>3100</v>
      </c>
      <c r="N41" s="4" t="n">
        <f aca="false">M41</f>
        <v>3100</v>
      </c>
      <c r="O41" s="9" t="s">
        <v>25</v>
      </c>
      <c r="P41" s="9" t="s">
        <v>26</v>
      </c>
    </row>
    <row r="42" customFormat="false" ht="114.75" hidden="false" customHeight="true" outlineLevel="0" collapsed="false">
      <c r="A42" s="4" t="s">
        <v>248</v>
      </c>
      <c r="B42" s="4" t="n">
        <v>35</v>
      </c>
      <c r="C42" s="4" t="s">
        <v>17</v>
      </c>
      <c r="D42" s="4" t="s">
        <v>17</v>
      </c>
      <c r="E42" s="4" t="n">
        <v>2017</v>
      </c>
      <c r="F42" s="4" t="s">
        <v>249</v>
      </c>
      <c r="G42" s="4" t="s">
        <v>238</v>
      </c>
      <c r="H42" s="4" t="s">
        <v>74</v>
      </c>
      <c r="I42" s="4" t="s">
        <v>17</v>
      </c>
      <c r="J42" s="4" t="s">
        <v>250</v>
      </c>
      <c r="K42" s="6" t="s">
        <v>251</v>
      </c>
      <c r="L42" s="7" t="s">
        <v>252</v>
      </c>
      <c r="M42" s="9" t="s">
        <v>17</v>
      </c>
      <c r="N42" s="4" t="str">
        <f aca="false">M42</f>
        <v>-</v>
      </c>
      <c r="O42" s="9" t="s">
        <v>25</v>
      </c>
      <c r="P42" s="9" t="s">
        <v>26</v>
      </c>
    </row>
    <row r="43" customFormat="false" ht="114.75" hidden="false" customHeight="true" outlineLevel="0" collapsed="false">
      <c r="A43" s="4" t="s">
        <v>248</v>
      </c>
      <c r="B43" s="4" t="n">
        <v>35</v>
      </c>
      <c r="C43" s="4" t="s">
        <v>253</v>
      </c>
      <c r="D43" s="4" t="s">
        <v>28</v>
      </c>
      <c r="E43" s="4" t="n">
        <v>2022</v>
      </c>
      <c r="F43" s="4" t="s">
        <v>254</v>
      </c>
      <c r="G43" s="4" t="s">
        <v>238</v>
      </c>
      <c r="H43" s="4" t="s">
        <v>74</v>
      </c>
      <c r="I43" s="4" t="s">
        <v>17</v>
      </c>
      <c r="J43" s="4" t="s">
        <v>250</v>
      </c>
      <c r="K43" s="6" t="s">
        <v>255</v>
      </c>
      <c r="L43" s="7" t="s">
        <v>256</v>
      </c>
      <c r="M43" s="9" t="s">
        <v>17</v>
      </c>
      <c r="N43" s="4" t="str">
        <f aca="false">M43</f>
        <v>-</v>
      </c>
      <c r="O43" s="15" t="s">
        <v>25</v>
      </c>
      <c r="P43" s="15" t="s">
        <v>26</v>
      </c>
    </row>
    <row r="44" customFormat="false" ht="114.75" hidden="false" customHeight="true" outlineLevel="0" collapsed="false">
      <c r="A44" s="4" t="s">
        <v>257</v>
      </c>
      <c r="B44" s="4" t="n">
        <v>36</v>
      </c>
      <c r="C44" s="4" t="s">
        <v>17</v>
      </c>
      <c r="D44" s="4" t="s">
        <v>17</v>
      </c>
      <c r="E44" s="4" t="n">
        <v>2012</v>
      </c>
      <c r="F44" s="4" t="s">
        <v>258</v>
      </c>
      <c r="G44" s="4" t="s">
        <v>238</v>
      </c>
      <c r="H44" s="4" t="s">
        <v>74</v>
      </c>
      <c r="I44" s="4" t="s">
        <v>17</v>
      </c>
      <c r="J44" s="4" t="s">
        <v>259</v>
      </c>
      <c r="K44" s="6" t="s">
        <v>260</v>
      </c>
      <c r="L44" s="7" t="s">
        <v>261</v>
      </c>
      <c r="M44" s="9" t="s">
        <v>17</v>
      </c>
      <c r="N44" s="4" t="str">
        <f aca="false">M44</f>
        <v>-</v>
      </c>
      <c r="O44" s="9" t="s">
        <v>259</v>
      </c>
      <c r="P44" s="9" t="s">
        <v>74</v>
      </c>
    </row>
    <row r="45" customFormat="false" ht="114.75" hidden="false" customHeight="true" outlineLevel="0" collapsed="false">
      <c r="A45" s="4" t="s">
        <v>262</v>
      </c>
      <c r="B45" s="4" t="n">
        <v>37</v>
      </c>
      <c r="C45" s="4" t="s">
        <v>17</v>
      </c>
      <c r="D45" s="4" t="s">
        <v>17</v>
      </c>
      <c r="E45" s="4" t="n">
        <v>2011</v>
      </c>
      <c r="F45" s="4" t="s">
        <v>263</v>
      </c>
      <c r="G45" s="4" t="s">
        <v>238</v>
      </c>
      <c r="H45" s="4" t="s">
        <v>74</v>
      </c>
      <c r="I45" s="4" t="s">
        <v>17</v>
      </c>
      <c r="J45" s="4" t="s">
        <v>264</v>
      </c>
      <c r="K45" s="6" t="s">
        <v>265</v>
      </c>
      <c r="L45" s="7" t="s">
        <v>266</v>
      </c>
      <c r="M45" s="9" t="s">
        <v>17</v>
      </c>
      <c r="N45" s="4" t="str">
        <f aca="false">M45</f>
        <v>-</v>
      </c>
      <c r="O45" s="9" t="s">
        <v>259</v>
      </c>
      <c r="P45" s="9" t="s">
        <v>74</v>
      </c>
    </row>
    <row r="46" customFormat="false" ht="114.75" hidden="false" customHeight="true" outlineLevel="0" collapsed="false">
      <c r="A46" s="4" t="s">
        <v>267</v>
      </c>
      <c r="B46" s="4" t="n">
        <v>38</v>
      </c>
      <c r="C46" s="4"/>
      <c r="D46" s="4" t="s">
        <v>17</v>
      </c>
      <c r="E46" s="4" t="n">
        <v>2024</v>
      </c>
      <c r="F46" s="4" t="s">
        <v>268</v>
      </c>
      <c r="G46" s="4" t="s">
        <v>238</v>
      </c>
      <c r="H46" s="4" t="s">
        <v>59</v>
      </c>
      <c r="I46" s="4" t="s">
        <v>269</v>
      </c>
      <c r="J46" s="4" t="s">
        <v>80</v>
      </c>
      <c r="K46" s="6" t="s">
        <v>270</v>
      </c>
      <c r="L46" s="7" t="s">
        <v>271</v>
      </c>
      <c r="M46" s="9" t="n">
        <v>1500</v>
      </c>
      <c r="N46" s="4" t="n">
        <f aca="false">M46*0.78</f>
        <v>1170</v>
      </c>
      <c r="O46" s="9" t="s">
        <v>25</v>
      </c>
      <c r="P46" s="9" t="s">
        <v>59</v>
      </c>
    </row>
    <row r="47" customFormat="false" ht="114.75" hidden="false" customHeight="true" outlineLevel="0" collapsed="false">
      <c r="A47" s="4" t="s">
        <v>272</v>
      </c>
      <c r="B47" s="4" t="n">
        <v>39</v>
      </c>
      <c r="C47" s="4"/>
      <c r="D47" s="4" t="s">
        <v>17</v>
      </c>
      <c r="E47" s="4" t="n">
        <v>2023</v>
      </c>
      <c r="F47" s="4" t="s">
        <v>273</v>
      </c>
      <c r="G47" s="4" t="s">
        <v>238</v>
      </c>
      <c r="H47" s="4" t="s">
        <v>59</v>
      </c>
      <c r="I47" s="4" t="s">
        <v>17</v>
      </c>
      <c r="J47" s="4" t="s">
        <v>119</v>
      </c>
      <c r="K47" s="6" t="s">
        <v>274</v>
      </c>
      <c r="L47" s="7" t="s">
        <v>275</v>
      </c>
      <c r="M47" s="9" t="s">
        <v>17</v>
      </c>
      <c r="N47" s="9" t="s">
        <v>17</v>
      </c>
      <c r="O47" s="9" t="s">
        <v>119</v>
      </c>
      <c r="P47" s="9" t="s">
        <v>59</v>
      </c>
    </row>
    <row r="48" customFormat="false" ht="114.75" hidden="false" customHeight="true" outlineLevel="0" collapsed="false">
      <c r="A48" s="4" t="s">
        <v>276</v>
      </c>
      <c r="B48" s="4" t="n">
        <v>40</v>
      </c>
      <c r="C48" s="4" t="s">
        <v>17</v>
      </c>
      <c r="D48" s="4" t="s">
        <v>17</v>
      </c>
      <c r="E48" s="4" t="n">
        <v>2024</v>
      </c>
      <c r="F48" s="4" t="s">
        <v>277</v>
      </c>
      <c r="G48" s="4" t="s">
        <v>278</v>
      </c>
      <c r="H48" s="4" t="s">
        <v>20</v>
      </c>
      <c r="I48" s="4" t="s">
        <v>279</v>
      </c>
      <c r="J48" s="4" t="s">
        <v>280</v>
      </c>
      <c r="K48" s="6" t="s">
        <v>281</v>
      </c>
      <c r="L48" s="7" t="s">
        <v>282</v>
      </c>
      <c r="M48" s="4" t="n">
        <v>5200</v>
      </c>
      <c r="N48" s="4" t="n">
        <f aca="false">M48</f>
        <v>5200</v>
      </c>
      <c r="O48" s="9" t="s">
        <v>107</v>
      </c>
      <c r="P48" s="9" t="s">
        <v>26</v>
      </c>
    </row>
    <row r="49" customFormat="false" ht="114.75" hidden="false" customHeight="true" outlineLevel="0" collapsed="false">
      <c r="A49" s="4" t="s">
        <v>276</v>
      </c>
      <c r="B49" s="4" t="n">
        <v>40</v>
      </c>
      <c r="C49" s="4" t="s">
        <v>283</v>
      </c>
      <c r="D49" s="4" t="s">
        <v>28</v>
      </c>
      <c r="E49" s="4" t="n">
        <v>2024</v>
      </c>
      <c r="F49" s="4" t="s">
        <v>284</v>
      </c>
      <c r="G49" s="4" t="s">
        <v>278</v>
      </c>
      <c r="H49" s="4" t="s">
        <v>66</v>
      </c>
      <c r="I49" s="4" t="s">
        <v>285</v>
      </c>
      <c r="J49" s="4" t="s">
        <v>286</v>
      </c>
      <c r="K49" s="6" t="s">
        <v>287</v>
      </c>
      <c r="L49" s="7" t="s">
        <v>282</v>
      </c>
      <c r="M49" s="4" t="n">
        <v>166</v>
      </c>
      <c r="N49" s="4" t="n">
        <f aca="false">M49</f>
        <v>166</v>
      </c>
      <c r="O49" s="9" t="s">
        <v>286</v>
      </c>
      <c r="P49" s="9" t="s">
        <v>66</v>
      </c>
    </row>
    <row r="50" customFormat="false" ht="114.75" hidden="false" customHeight="true" outlineLevel="0" collapsed="false">
      <c r="A50" s="4" t="s">
        <v>276</v>
      </c>
      <c r="B50" s="4" t="n">
        <v>40</v>
      </c>
      <c r="C50" s="4" t="s">
        <v>288</v>
      </c>
      <c r="D50" s="4" t="s">
        <v>90</v>
      </c>
      <c r="E50" s="4" t="n">
        <v>2024</v>
      </c>
      <c r="F50" s="4" t="s">
        <v>289</v>
      </c>
      <c r="G50" s="4" t="s">
        <v>278</v>
      </c>
      <c r="H50" s="4" t="s">
        <v>66</v>
      </c>
      <c r="I50" s="4" t="s">
        <v>290</v>
      </c>
      <c r="J50" s="4" t="s">
        <v>44</v>
      </c>
      <c r="K50" s="6" t="s">
        <v>291</v>
      </c>
      <c r="L50" s="7" t="s">
        <v>282</v>
      </c>
      <c r="M50" s="9" t="n">
        <v>1000</v>
      </c>
      <c r="N50" s="4" t="n">
        <f aca="false">M50*0.78</f>
        <v>780</v>
      </c>
      <c r="O50" s="9" t="s">
        <v>44</v>
      </c>
      <c r="P50" s="9" t="s">
        <v>66</v>
      </c>
    </row>
    <row r="51" customFormat="false" ht="114.75" hidden="false" customHeight="true" outlineLevel="0" collapsed="false">
      <c r="A51" s="4" t="s">
        <v>276</v>
      </c>
      <c r="B51" s="4" t="n">
        <v>40</v>
      </c>
      <c r="C51" s="4" t="s">
        <v>292</v>
      </c>
      <c r="D51" s="4" t="s">
        <v>96</v>
      </c>
      <c r="E51" s="4" t="n">
        <v>2024</v>
      </c>
      <c r="F51" s="4" t="s">
        <v>289</v>
      </c>
      <c r="G51" s="4" t="s">
        <v>278</v>
      </c>
      <c r="H51" s="4" t="s">
        <v>66</v>
      </c>
      <c r="I51" s="4" t="s">
        <v>293</v>
      </c>
      <c r="J51" s="4" t="s">
        <v>294</v>
      </c>
      <c r="K51" s="6" t="s">
        <v>295</v>
      </c>
      <c r="L51" s="7" t="s">
        <v>282</v>
      </c>
      <c r="M51" s="9" t="n">
        <v>2000</v>
      </c>
      <c r="N51" s="4" t="n">
        <f aca="false">M51*0.78</f>
        <v>1560</v>
      </c>
      <c r="O51" s="9" t="s">
        <v>25</v>
      </c>
      <c r="P51" s="9" t="s">
        <v>66</v>
      </c>
    </row>
    <row r="52" customFormat="false" ht="114.75" hidden="false" customHeight="true" outlineLevel="0" collapsed="false">
      <c r="A52" s="4" t="s">
        <v>276</v>
      </c>
      <c r="B52" s="4" t="n">
        <v>40</v>
      </c>
      <c r="C52" s="4" t="s">
        <v>296</v>
      </c>
      <c r="D52" s="4" t="s">
        <v>297</v>
      </c>
      <c r="E52" s="4" t="n">
        <v>2024</v>
      </c>
      <c r="F52" s="4" t="s">
        <v>298</v>
      </c>
      <c r="G52" s="4" t="s">
        <v>278</v>
      </c>
      <c r="H52" s="4" t="s">
        <v>66</v>
      </c>
      <c r="I52" s="4" t="s">
        <v>299</v>
      </c>
      <c r="J52" s="4" t="s">
        <v>119</v>
      </c>
      <c r="K52" s="6" t="s">
        <v>300</v>
      </c>
      <c r="L52" s="7" t="s">
        <v>301</v>
      </c>
      <c r="M52" s="9" t="n">
        <v>300</v>
      </c>
      <c r="N52" s="4" t="n">
        <f aca="false">M52*0.78</f>
        <v>234</v>
      </c>
      <c r="O52" s="9" t="s">
        <v>119</v>
      </c>
      <c r="P52" s="9" t="s">
        <v>66</v>
      </c>
    </row>
    <row r="53" customFormat="false" ht="114.75" hidden="false" customHeight="true" outlineLevel="0" collapsed="false">
      <c r="A53" s="4" t="s">
        <v>276</v>
      </c>
      <c r="B53" s="4" t="n">
        <v>40</v>
      </c>
      <c r="C53" s="4" t="s">
        <v>302</v>
      </c>
      <c r="D53" s="4" t="s">
        <v>303</v>
      </c>
      <c r="E53" s="4" t="n">
        <v>2024</v>
      </c>
      <c r="F53" s="4" t="s">
        <v>298</v>
      </c>
      <c r="G53" s="4" t="s">
        <v>278</v>
      </c>
      <c r="H53" s="4" t="s">
        <v>66</v>
      </c>
      <c r="I53" s="4" t="s">
        <v>304</v>
      </c>
      <c r="J53" s="4" t="s">
        <v>119</v>
      </c>
      <c r="K53" s="6" t="s">
        <v>305</v>
      </c>
      <c r="L53" s="7" t="s">
        <v>301</v>
      </c>
      <c r="M53" s="9" t="n">
        <v>2700</v>
      </c>
      <c r="N53" s="4" t="n">
        <f aca="false">M53*0.78</f>
        <v>2106</v>
      </c>
      <c r="O53" s="9" t="s">
        <v>119</v>
      </c>
      <c r="P53" s="9" t="s">
        <v>66</v>
      </c>
    </row>
    <row r="54" customFormat="false" ht="114.75" hidden="false" customHeight="true" outlineLevel="0" collapsed="false">
      <c r="A54" s="4" t="s">
        <v>276</v>
      </c>
      <c r="B54" s="4" t="n">
        <v>40</v>
      </c>
      <c r="C54" s="4" t="s">
        <v>306</v>
      </c>
      <c r="D54" s="4" t="s">
        <v>307</v>
      </c>
      <c r="E54" s="4" t="n">
        <v>2023</v>
      </c>
      <c r="F54" s="4" t="s">
        <v>308</v>
      </c>
      <c r="G54" s="4" t="s">
        <v>278</v>
      </c>
      <c r="H54" s="4" t="s">
        <v>66</v>
      </c>
      <c r="I54" s="4" t="s">
        <v>309</v>
      </c>
      <c r="J54" s="4" t="s">
        <v>310</v>
      </c>
      <c r="K54" s="6" t="s">
        <v>311</v>
      </c>
      <c r="L54" s="7" t="s">
        <v>301</v>
      </c>
      <c r="M54" s="9" t="n">
        <v>10000</v>
      </c>
      <c r="N54" s="4" t="n">
        <f aca="false">M54*0.78</f>
        <v>7800</v>
      </c>
      <c r="O54" s="9" t="s">
        <v>44</v>
      </c>
      <c r="P54" s="9" t="s">
        <v>66</v>
      </c>
    </row>
    <row r="55" customFormat="false" ht="114.75" hidden="false" customHeight="true" outlineLevel="0" collapsed="false">
      <c r="A55" s="4" t="s">
        <v>276</v>
      </c>
      <c r="B55" s="4" t="n">
        <v>40</v>
      </c>
      <c r="C55" s="4" t="s">
        <v>312</v>
      </c>
      <c r="D55" s="4" t="s">
        <v>313</v>
      </c>
      <c r="E55" s="4" t="n">
        <v>2024</v>
      </c>
      <c r="F55" s="4" t="s">
        <v>314</v>
      </c>
      <c r="G55" s="4" t="s">
        <v>278</v>
      </c>
      <c r="H55" s="4" t="s">
        <v>66</v>
      </c>
      <c r="I55" s="4" t="s">
        <v>315</v>
      </c>
      <c r="J55" s="4" t="s">
        <v>316</v>
      </c>
      <c r="K55" s="6" t="s">
        <v>317</v>
      </c>
      <c r="L55" s="7" t="s">
        <v>301</v>
      </c>
      <c r="M55" s="9" t="n">
        <v>1250</v>
      </c>
      <c r="N55" s="4" t="n">
        <f aca="false">M55*0.78</f>
        <v>975</v>
      </c>
      <c r="O55" s="9" t="s">
        <v>316</v>
      </c>
      <c r="P55" s="9" t="s">
        <v>66</v>
      </c>
    </row>
    <row r="56" customFormat="false" ht="114.75" hidden="false" customHeight="true" outlineLevel="0" collapsed="false">
      <c r="A56" s="4" t="s">
        <v>276</v>
      </c>
      <c r="B56" s="4" t="n">
        <v>40</v>
      </c>
      <c r="C56" s="4" t="s">
        <v>318</v>
      </c>
      <c r="D56" s="4" t="s">
        <v>319</v>
      </c>
      <c r="E56" s="4" t="n">
        <v>2024</v>
      </c>
      <c r="F56" s="4" t="s">
        <v>320</v>
      </c>
      <c r="G56" s="4" t="s">
        <v>278</v>
      </c>
      <c r="H56" s="4" t="s">
        <v>66</v>
      </c>
      <c r="I56" s="4" t="s">
        <v>290</v>
      </c>
      <c r="J56" s="4" t="s">
        <v>321</v>
      </c>
      <c r="K56" s="6" t="s">
        <v>322</v>
      </c>
      <c r="L56" s="7" t="s">
        <v>301</v>
      </c>
      <c r="M56" s="9" t="n">
        <v>1000</v>
      </c>
      <c r="N56" s="4" t="n">
        <f aca="false">M56*0.78</f>
        <v>780</v>
      </c>
      <c r="O56" s="9" t="s">
        <v>25</v>
      </c>
      <c r="P56" s="9" t="s">
        <v>66</v>
      </c>
    </row>
    <row r="57" customFormat="false" ht="114.75" hidden="false" customHeight="true" outlineLevel="0" collapsed="false">
      <c r="A57" s="4" t="s">
        <v>276</v>
      </c>
      <c r="B57" s="4" t="n">
        <v>40</v>
      </c>
      <c r="C57" s="4" t="s">
        <v>323</v>
      </c>
      <c r="D57" s="4" t="s">
        <v>324</v>
      </c>
      <c r="E57" s="4" t="n">
        <v>2024</v>
      </c>
      <c r="F57" s="4" t="s">
        <v>314</v>
      </c>
      <c r="G57" s="4" t="s">
        <v>278</v>
      </c>
      <c r="H57" s="4" t="s">
        <v>66</v>
      </c>
      <c r="I57" s="4" t="s">
        <v>290</v>
      </c>
      <c r="J57" s="4" t="s">
        <v>325</v>
      </c>
      <c r="K57" s="6" t="s">
        <v>326</v>
      </c>
      <c r="L57" s="7" t="s">
        <v>301</v>
      </c>
      <c r="M57" s="9" t="n">
        <v>1000</v>
      </c>
      <c r="N57" s="4" t="n">
        <f aca="false">M57*0.78</f>
        <v>780</v>
      </c>
      <c r="O57" s="9" t="s">
        <v>44</v>
      </c>
      <c r="P57" s="9" t="s">
        <v>66</v>
      </c>
    </row>
    <row r="58" customFormat="false" ht="114.75" hidden="false" customHeight="true" outlineLevel="0" collapsed="false">
      <c r="A58" s="4" t="s">
        <v>327</v>
      </c>
      <c r="B58" s="4" t="n">
        <v>41</v>
      </c>
      <c r="C58" s="4" t="s">
        <v>17</v>
      </c>
      <c r="D58" s="4" t="s">
        <v>17</v>
      </c>
      <c r="E58" s="4" t="n">
        <v>2025</v>
      </c>
      <c r="F58" s="4" t="s">
        <v>284</v>
      </c>
      <c r="G58" s="4" t="s">
        <v>278</v>
      </c>
      <c r="H58" s="4" t="s">
        <v>74</v>
      </c>
      <c r="I58" s="4" t="s">
        <v>17</v>
      </c>
      <c r="J58" s="4" t="s">
        <v>44</v>
      </c>
      <c r="K58" s="6" t="s">
        <v>328</v>
      </c>
      <c r="L58" s="7" t="s">
        <v>329</v>
      </c>
      <c r="M58" s="9" t="s">
        <v>17</v>
      </c>
      <c r="N58" s="9" t="s">
        <v>17</v>
      </c>
      <c r="O58" s="9" t="s">
        <v>44</v>
      </c>
      <c r="P58" s="9" t="s">
        <v>74</v>
      </c>
    </row>
    <row r="59" customFormat="false" ht="114.75" hidden="false" customHeight="true" outlineLevel="0" collapsed="false">
      <c r="A59" s="4" t="s">
        <v>330</v>
      </c>
      <c r="B59" s="4" t="n">
        <v>42</v>
      </c>
      <c r="C59" s="4" t="s">
        <v>17</v>
      </c>
      <c r="D59" s="4" t="s">
        <v>17</v>
      </c>
      <c r="E59" s="4" t="n">
        <v>2024</v>
      </c>
      <c r="F59" s="4" t="s">
        <v>132</v>
      </c>
      <c r="G59" s="4" t="s">
        <v>278</v>
      </c>
      <c r="H59" s="4" t="s">
        <v>331</v>
      </c>
      <c r="I59" s="4" t="s">
        <v>17</v>
      </c>
      <c r="J59" s="4" t="s">
        <v>25</v>
      </c>
      <c r="K59" s="6" t="s">
        <v>332</v>
      </c>
      <c r="L59" s="7" t="s">
        <v>333</v>
      </c>
      <c r="M59" s="9" t="s">
        <v>17</v>
      </c>
      <c r="N59" s="9" t="s">
        <v>17</v>
      </c>
      <c r="O59" s="9" t="s">
        <v>25</v>
      </c>
      <c r="P59" s="9" t="s">
        <v>74</v>
      </c>
    </row>
    <row r="60" customFormat="false" ht="114.75" hidden="false" customHeight="true" outlineLevel="0" collapsed="false">
      <c r="A60" s="4" t="s">
        <v>330</v>
      </c>
      <c r="B60" s="4" t="n">
        <v>42</v>
      </c>
      <c r="C60" s="4" t="s">
        <v>334</v>
      </c>
      <c r="D60" s="4" t="s">
        <v>28</v>
      </c>
      <c r="E60" s="4" t="n">
        <v>2024</v>
      </c>
      <c r="F60" s="4" t="s">
        <v>132</v>
      </c>
      <c r="G60" s="4" t="s">
        <v>278</v>
      </c>
      <c r="H60" s="4" t="s">
        <v>335</v>
      </c>
      <c r="I60" s="4" t="s">
        <v>336</v>
      </c>
      <c r="J60" s="4" t="s">
        <v>337</v>
      </c>
      <c r="K60" s="6" t="s">
        <v>338</v>
      </c>
      <c r="L60" s="7" t="s">
        <v>339</v>
      </c>
      <c r="M60" s="9" t="n">
        <v>600</v>
      </c>
      <c r="N60" s="4" t="n">
        <f aca="false">M60*0.78</f>
        <v>468</v>
      </c>
      <c r="O60" s="9" t="s">
        <v>25</v>
      </c>
      <c r="P60" s="9" t="s">
        <v>82</v>
      </c>
    </row>
    <row r="61" customFormat="false" ht="114.75" hidden="false" customHeight="true" outlineLevel="0" collapsed="false">
      <c r="A61" s="4" t="s">
        <v>340</v>
      </c>
      <c r="B61" s="4" t="n">
        <v>43</v>
      </c>
      <c r="C61" s="4" t="s">
        <v>17</v>
      </c>
      <c r="D61" s="4" t="s">
        <v>17</v>
      </c>
      <c r="E61" s="4" t="n">
        <v>1986</v>
      </c>
      <c r="F61" s="4" t="s">
        <v>341</v>
      </c>
      <c r="G61" s="4" t="s">
        <v>278</v>
      </c>
      <c r="H61" s="4" t="s">
        <v>59</v>
      </c>
      <c r="I61" s="4" t="s">
        <v>17</v>
      </c>
      <c r="J61" s="4" t="s">
        <v>342</v>
      </c>
      <c r="K61" s="6" t="s">
        <v>343</v>
      </c>
      <c r="L61" s="7" t="s">
        <v>344</v>
      </c>
      <c r="M61" s="9" t="s">
        <v>17</v>
      </c>
      <c r="N61" s="4"/>
      <c r="O61" s="9" t="s">
        <v>44</v>
      </c>
      <c r="P61" s="9" t="s">
        <v>59</v>
      </c>
    </row>
    <row r="62" customFormat="false" ht="114.75" hidden="false" customHeight="true" outlineLevel="0" collapsed="false">
      <c r="A62" s="4" t="s">
        <v>345</v>
      </c>
      <c r="B62" s="4" t="n">
        <v>44</v>
      </c>
      <c r="C62" s="4" t="s">
        <v>346</v>
      </c>
      <c r="D62" s="4" t="s">
        <v>28</v>
      </c>
      <c r="E62" s="4" t="n">
        <v>2021</v>
      </c>
      <c r="F62" s="4" t="s">
        <v>347</v>
      </c>
      <c r="G62" s="4" t="s">
        <v>348</v>
      </c>
      <c r="H62" s="4" t="s">
        <v>59</v>
      </c>
      <c r="I62" s="4" t="s">
        <v>17</v>
      </c>
      <c r="J62" s="4" t="s">
        <v>349</v>
      </c>
      <c r="K62" s="6" t="s">
        <v>350</v>
      </c>
      <c r="L62" s="7" t="s">
        <v>351</v>
      </c>
      <c r="M62" s="9" t="s">
        <v>17</v>
      </c>
      <c r="N62" s="9" t="s">
        <v>17</v>
      </c>
      <c r="O62" s="9" t="s">
        <v>25</v>
      </c>
      <c r="P62" s="9" t="s">
        <v>59</v>
      </c>
    </row>
    <row r="63" customFormat="false" ht="114.75" hidden="false" customHeight="true" outlineLevel="0" collapsed="false">
      <c r="A63" s="4" t="s">
        <v>352</v>
      </c>
      <c r="B63" s="4" t="n">
        <v>45</v>
      </c>
      <c r="C63" s="4" t="s">
        <v>17</v>
      </c>
      <c r="D63" s="4" t="s">
        <v>17</v>
      </c>
      <c r="E63" s="4" t="n">
        <v>2015</v>
      </c>
      <c r="F63" s="4" t="s">
        <v>353</v>
      </c>
      <c r="G63" s="4" t="s">
        <v>348</v>
      </c>
      <c r="H63" s="4" t="s">
        <v>59</v>
      </c>
      <c r="I63" s="4" t="s">
        <v>354</v>
      </c>
      <c r="J63" s="4" t="s">
        <v>355</v>
      </c>
      <c r="K63" s="6" t="s">
        <v>356</v>
      </c>
      <c r="L63" s="7" t="s">
        <v>357</v>
      </c>
      <c r="M63" s="4" t="n">
        <v>340000</v>
      </c>
      <c r="N63" s="4" t="n">
        <f aca="false">M63*0.03</f>
        <v>10200</v>
      </c>
      <c r="O63" s="9" t="s">
        <v>107</v>
      </c>
      <c r="P63" s="9" t="s">
        <v>59</v>
      </c>
    </row>
    <row r="64" customFormat="false" ht="114.75" hidden="false" customHeight="true" outlineLevel="0" collapsed="false">
      <c r="A64" s="4" t="s">
        <v>352</v>
      </c>
      <c r="B64" s="4" t="n">
        <v>45</v>
      </c>
      <c r="C64" s="4" t="s">
        <v>358</v>
      </c>
      <c r="D64" s="4" t="s">
        <v>28</v>
      </c>
      <c r="E64" s="4" t="n">
        <v>2018</v>
      </c>
      <c r="F64" s="4" t="s">
        <v>33</v>
      </c>
      <c r="G64" s="4" t="s">
        <v>348</v>
      </c>
      <c r="H64" s="4" t="s">
        <v>59</v>
      </c>
      <c r="I64" s="4" t="s">
        <v>354</v>
      </c>
      <c r="J64" s="4" t="s">
        <v>355</v>
      </c>
      <c r="K64" s="6" t="s">
        <v>359</v>
      </c>
      <c r="L64" s="13" t="s">
        <v>360</v>
      </c>
      <c r="M64" s="4" t="s">
        <v>17</v>
      </c>
      <c r="N64" s="4" t="s">
        <v>17</v>
      </c>
      <c r="O64" s="9" t="s">
        <v>107</v>
      </c>
      <c r="P64" s="9" t="s">
        <v>59</v>
      </c>
    </row>
    <row r="65" customFormat="false" ht="114.75" hidden="false" customHeight="true" outlineLevel="0" collapsed="false">
      <c r="A65" s="4" t="s">
        <v>345</v>
      </c>
      <c r="B65" s="4" t="n">
        <v>44</v>
      </c>
      <c r="C65" s="4" t="s">
        <v>361</v>
      </c>
      <c r="D65" s="4" t="s">
        <v>90</v>
      </c>
      <c r="E65" s="4" t="n">
        <v>2021</v>
      </c>
      <c r="F65" s="4" t="s">
        <v>254</v>
      </c>
      <c r="G65" s="4" t="s">
        <v>348</v>
      </c>
      <c r="H65" s="4" t="s">
        <v>59</v>
      </c>
      <c r="I65" s="4" t="s">
        <v>17</v>
      </c>
      <c r="J65" s="4" t="s">
        <v>355</v>
      </c>
      <c r="K65" s="6" t="s">
        <v>362</v>
      </c>
      <c r="L65" s="7" t="s">
        <v>363</v>
      </c>
      <c r="M65" s="9" t="s">
        <v>17</v>
      </c>
      <c r="N65" s="4" t="str">
        <f aca="false">M65</f>
        <v>-</v>
      </c>
      <c r="O65" s="9" t="s">
        <v>107</v>
      </c>
      <c r="P65" s="9" t="s">
        <v>59</v>
      </c>
    </row>
    <row r="66" customFormat="false" ht="114.75" hidden="false" customHeight="true" outlineLevel="0" collapsed="false">
      <c r="A66" s="4" t="s">
        <v>345</v>
      </c>
      <c r="B66" s="4" t="n">
        <v>44</v>
      </c>
      <c r="C66" s="4" t="s">
        <v>364</v>
      </c>
      <c r="D66" s="4" t="s">
        <v>96</v>
      </c>
      <c r="E66" s="4" t="n">
        <v>2023</v>
      </c>
      <c r="F66" s="4" t="s">
        <v>18</v>
      </c>
      <c r="G66" s="4" t="s">
        <v>348</v>
      </c>
      <c r="H66" s="4" t="s">
        <v>59</v>
      </c>
      <c r="I66" s="4" t="s">
        <v>17</v>
      </c>
      <c r="J66" s="4" t="s">
        <v>25</v>
      </c>
      <c r="K66" s="6" t="s">
        <v>365</v>
      </c>
      <c r="L66" s="13" t="s">
        <v>366</v>
      </c>
      <c r="M66" s="9" t="s">
        <v>17</v>
      </c>
      <c r="N66" s="4" t="str">
        <f aca="false">M66</f>
        <v>-</v>
      </c>
      <c r="O66" s="9" t="s">
        <v>25</v>
      </c>
      <c r="P66" s="9" t="s">
        <v>59</v>
      </c>
    </row>
    <row r="67" customFormat="false" ht="114.75" hidden="false" customHeight="true" outlineLevel="0" collapsed="false">
      <c r="A67" s="4" t="s">
        <v>367</v>
      </c>
      <c r="B67" s="4" t="n">
        <v>47</v>
      </c>
      <c r="C67" s="4" t="s">
        <v>368</v>
      </c>
      <c r="D67" s="4" t="s">
        <v>28</v>
      </c>
      <c r="E67" s="4" t="n">
        <v>2024</v>
      </c>
      <c r="F67" s="4" t="s">
        <v>97</v>
      </c>
      <c r="G67" s="4" t="s">
        <v>348</v>
      </c>
      <c r="H67" s="4" t="s">
        <v>369</v>
      </c>
      <c r="I67" s="4" t="s">
        <v>17</v>
      </c>
      <c r="J67" s="4" t="s">
        <v>316</v>
      </c>
      <c r="K67" s="6" t="s">
        <v>370</v>
      </c>
      <c r="L67" s="7" t="s">
        <v>371</v>
      </c>
      <c r="M67" s="9" t="s">
        <v>17</v>
      </c>
      <c r="N67" s="4" t="str">
        <f aca="false">M67</f>
        <v>-</v>
      </c>
      <c r="O67" s="9" t="s">
        <v>316</v>
      </c>
      <c r="P67" s="9" t="s">
        <v>59</v>
      </c>
    </row>
    <row r="68" customFormat="false" ht="114.75" hidden="false" customHeight="true" outlineLevel="0" collapsed="false">
      <c r="A68" s="4" t="s">
        <v>367</v>
      </c>
      <c r="B68" s="4" t="n">
        <v>47</v>
      </c>
      <c r="C68" s="4" t="s">
        <v>17</v>
      </c>
      <c r="D68" s="4" t="s">
        <v>17</v>
      </c>
      <c r="E68" s="4" t="n">
        <v>2019</v>
      </c>
      <c r="F68" s="4" t="s">
        <v>372</v>
      </c>
      <c r="G68" s="4" t="s">
        <v>348</v>
      </c>
      <c r="H68" s="4" t="s">
        <v>59</v>
      </c>
      <c r="I68" s="4" t="s">
        <v>17</v>
      </c>
      <c r="J68" s="4" t="s">
        <v>44</v>
      </c>
      <c r="K68" s="6" t="s">
        <v>373</v>
      </c>
      <c r="L68" s="7" t="s">
        <v>374</v>
      </c>
      <c r="M68" s="9" t="s">
        <v>17</v>
      </c>
      <c r="N68" s="4" t="str">
        <f aca="false">M68</f>
        <v>-</v>
      </c>
      <c r="O68" s="9" t="s">
        <v>44</v>
      </c>
      <c r="P68" s="9" t="s">
        <v>59</v>
      </c>
    </row>
    <row r="69" customFormat="false" ht="114.75" hidden="false" customHeight="true" outlineLevel="0" collapsed="false">
      <c r="A69" s="4" t="s">
        <v>352</v>
      </c>
      <c r="B69" s="4" t="n">
        <v>45</v>
      </c>
      <c r="C69" s="4" t="s">
        <v>375</v>
      </c>
      <c r="D69" s="4" t="s">
        <v>28</v>
      </c>
      <c r="E69" s="4" t="n">
        <v>2024</v>
      </c>
      <c r="F69" s="4" t="s">
        <v>376</v>
      </c>
      <c r="G69" s="4" t="s">
        <v>348</v>
      </c>
      <c r="H69" s="4" t="s">
        <v>74</v>
      </c>
      <c r="I69" s="4" t="s">
        <v>17</v>
      </c>
      <c r="J69" s="4" t="s">
        <v>377</v>
      </c>
      <c r="K69" s="6" t="s">
        <v>378</v>
      </c>
      <c r="L69" s="7" t="s">
        <v>379</v>
      </c>
      <c r="M69" s="9" t="s">
        <v>17</v>
      </c>
      <c r="N69" s="4" t="str">
        <f aca="false">M69</f>
        <v>-</v>
      </c>
      <c r="O69" s="9" t="s">
        <v>44</v>
      </c>
      <c r="P69" s="9" t="s">
        <v>74</v>
      </c>
    </row>
    <row r="70" customFormat="false" ht="114.75" hidden="false" customHeight="true" outlineLevel="0" collapsed="false">
      <c r="A70" s="4" t="s">
        <v>352</v>
      </c>
      <c r="B70" s="4" t="n">
        <v>45</v>
      </c>
      <c r="C70" s="4" t="s">
        <v>229</v>
      </c>
      <c r="D70" s="4" t="s">
        <v>90</v>
      </c>
      <c r="E70" s="4" t="n">
        <v>2025</v>
      </c>
      <c r="F70" s="4" t="s">
        <v>314</v>
      </c>
      <c r="G70" s="4" t="s">
        <v>348</v>
      </c>
      <c r="H70" s="4" t="s">
        <v>74</v>
      </c>
      <c r="I70" s="4" t="s">
        <v>17</v>
      </c>
      <c r="J70" s="4" t="s">
        <v>377</v>
      </c>
      <c r="K70" s="6" t="s">
        <v>380</v>
      </c>
      <c r="L70" s="7" t="s">
        <v>379</v>
      </c>
      <c r="M70" s="9" t="s">
        <v>17</v>
      </c>
      <c r="N70" s="4" t="str">
        <f aca="false">M70</f>
        <v>-</v>
      </c>
      <c r="O70" s="9" t="s">
        <v>44</v>
      </c>
      <c r="P70" s="9" t="s">
        <v>74</v>
      </c>
    </row>
    <row r="71" customFormat="false" ht="114.75" hidden="false" customHeight="true" outlineLevel="0" collapsed="false">
      <c r="A71" s="4" t="s">
        <v>381</v>
      </c>
      <c r="B71" s="4" t="n">
        <v>48</v>
      </c>
      <c r="C71" s="4" t="s">
        <v>17</v>
      </c>
      <c r="D71" s="4" t="s">
        <v>17</v>
      </c>
      <c r="E71" s="4" t="n">
        <v>2025</v>
      </c>
      <c r="F71" s="4" t="s">
        <v>268</v>
      </c>
      <c r="G71" s="4" t="s">
        <v>348</v>
      </c>
      <c r="H71" s="4" t="s">
        <v>59</v>
      </c>
      <c r="I71" s="4" t="s">
        <v>17</v>
      </c>
      <c r="J71" s="4" t="s">
        <v>355</v>
      </c>
      <c r="K71" s="6" t="s">
        <v>382</v>
      </c>
      <c r="L71" s="7" t="s">
        <v>383</v>
      </c>
      <c r="M71" s="9" t="s">
        <v>17</v>
      </c>
      <c r="N71" s="4" t="str">
        <f aca="false">M71</f>
        <v>-</v>
      </c>
      <c r="O71" s="9" t="s">
        <v>44</v>
      </c>
      <c r="P71" s="9" t="s">
        <v>59</v>
      </c>
    </row>
    <row r="72" customFormat="false" ht="114.75" hidden="false" customHeight="true" outlineLevel="0" collapsed="false">
      <c r="A72" s="4" t="s">
        <v>16</v>
      </c>
      <c r="B72" s="4" t="n">
        <v>1</v>
      </c>
      <c r="C72" s="4" t="s">
        <v>384</v>
      </c>
      <c r="D72" s="4" t="s">
        <v>90</v>
      </c>
      <c r="E72" s="4" t="n">
        <v>2022</v>
      </c>
      <c r="F72" s="4" t="s">
        <v>18</v>
      </c>
      <c r="G72" s="4" t="s">
        <v>19</v>
      </c>
      <c r="H72" s="4" t="s">
        <v>186</v>
      </c>
      <c r="I72" s="4" t="s">
        <v>385</v>
      </c>
      <c r="J72" s="4" t="s">
        <v>386</v>
      </c>
      <c r="K72" s="6" t="s">
        <v>387</v>
      </c>
      <c r="L72" s="13" t="s">
        <v>388</v>
      </c>
      <c r="M72" s="4" t="n">
        <v>3000</v>
      </c>
      <c r="N72" s="4" t="n">
        <v>3000</v>
      </c>
      <c r="O72" s="9" t="s">
        <v>286</v>
      </c>
      <c r="P72" s="9" t="s">
        <v>66</v>
      </c>
    </row>
    <row r="73" customFormat="false" ht="114.75" hidden="false" customHeight="true" outlineLevel="0" collapsed="false">
      <c r="A73" s="4" t="s">
        <v>16</v>
      </c>
      <c r="B73" s="4" t="n">
        <v>1</v>
      </c>
      <c r="C73" s="4" t="s">
        <v>389</v>
      </c>
      <c r="D73" s="4" t="s">
        <v>96</v>
      </c>
      <c r="E73" s="4" t="n">
        <v>2022</v>
      </c>
      <c r="F73" s="4" t="s">
        <v>18</v>
      </c>
      <c r="G73" s="4" t="s">
        <v>19</v>
      </c>
      <c r="H73" s="4" t="s">
        <v>186</v>
      </c>
      <c r="I73" s="16" t="s">
        <v>390</v>
      </c>
      <c r="J73" s="4" t="s">
        <v>119</v>
      </c>
      <c r="K73" s="6" t="s">
        <v>391</v>
      </c>
      <c r="L73" s="7" t="s">
        <v>392</v>
      </c>
      <c r="M73" s="4" t="n">
        <v>6300</v>
      </c>
      <c r="N73" s="4" t="n">
        <v>6300</v>
      </c>
      <c r="O73" s="9" t="s">
        <v>119</v>
      </c>
      <c r="P73" s="9" t="s">
        <v>66</v>
      </c>
    </row>
    <row r="74" customFormat="false" ht="114.75" hidden="false" customHeight="true" outlineLevel="0" collapsed="false">
      <c r="A74" s="4" t="s">
        <v>16</v>
      </c>
      <c r="B74" s="4" t="n">
        <v>1</v>
      </c>
      <c r="C74" s="4" t="s">
        <v>393</v>
      </c>
      <c r="D74" s="4" t="s">
        <v>297</v>
      </c>
      <c r="E74" s="4" t="n">
        <v>2022</v>
      </c>
      <c r="F74" s="4" t="s">
        <v>18</v>
      </c>
      <c r="G74" s="4" t="s">
        <v>19</v>
      </c>
      <c r="H74" s="4" t="s">
        <v>186</v>
      </c>
      <c r="I74" s="4" t="s">
        <v>394</v>
      </c>
      <c r="J74" s="4" t="s">
        <v>119</v>
      </c>
      <c r="K74" s="6" t="s">
        <v>395</v>
      </c>
      <c r="L74" s="13" t="s">
        <v>396</v>
      </c>
      <c r="M74" s="4" t="n">
        <v>519</v>
      </c>
      <c r="N74" s="4" t="n">
        <v>519</v>
      </c>
      <c r="O74" s="9" t="s">
        <v>119</v>
      </c>
      <c r="P74" s="9" t="s">
        <v>66</v>
      </c>
    </row>
    <row r="75" customFormat="false" ht="114.75" hidden="false" customHeight="true" outlineLevel="0" collapsed="false">
      <c r="A75" s="4" t="s">
        <v>16</v>
      </c>
      <c r="B75" s="4" t="n">
        <v>1</v>
      </c>
      <c r="C75" s="4" t="s">
        <v>397</v>
      </c>
      <c r="D75" s="4" t="s">
        <v>303</v>
      </c>
      <c r="E75" s="4" t="n">
        <v>2022</v>
      </c>
      <c r="F75" s="4" t="s">
        <v>18</v>
      </c>
      <c r="G75" s="4" t="s">
        <v>19</v>
      </c>
      <c r="H75" s="4" t="s">
        <v>66</v>
      </c>
      <c r="I75" s="4" t="s">
        <v>398</v>
      </c>
      <c r="J75" s="4" t="s">
        <v>227</v>
      </c>
      <c r="K75" s="6" t="s">
        <v>399</v>
      </c>
      <c r="L75" s="13" t="s">
        <v>400</v>
      </c>
      <c r="M75" s="4" t="n">
        <v>285</v>
      </c>
      <c r="N75" s="4" t="n">
        <v>285</v>
      </c>
      <c r="O75" s="9" t="s">
        <v>119</v>
      </c>
      <c r="P75" s="9" t="s">
        <v>66</v>
      </c>
    </row>
    <row r="76" s="17" customFormat="true" ht="114.75" hidden="false" customHeight="true" outlineLevel="0" collapsed="false">
      <c r="A76" s="4" t="s">
        <v>401</v>
      </c>
      <c r="B76" s="4" t="n">
        <v>49</v>
      </c>
      <c r="C76" s="4" t="s">
        <v>17</v>
      </c>
      <c r="D76" s="4" t="s">
        <v>17</v>
      </c>
      <c r="E76" s="4" t="n">
        <v>2022</v>
      </c>
      <c r="F76" s="4" t="s">
        <v>175</v>
      </c>
      <c r="G76" s="4" t="s">
        <v>19</v>
      </c>
      <c r="H76" s="4" t="s">
        <v>66</v>
      </c>
      <c r="I76" s="4" t="s">
        <v>402</v>
      </c>
      <c r="J76" s="4" t="s">
        <v>403</v>
      </c>
      <c r="K76" s="6" t="s">
        <v>404</v>
      </c>
      <c r="L76" s="7" t="s">
        <v>405</v>
      </c>
      <c r="M76" s="4" t="n">
        <v>240</v>
      </c>
      <c r="N76" s="4" t="n">
        <v>240</v>
      </c>
      <c r="O76" s="8" t="s">
        <v>25</v>
      </c>
      <c r="P76" s="8" t="s">
        <v>66</v>
      </c>
    </row>
    <row r="77" customFormat="false" ht="114.75" hidden="false" customHeight="true" outlineLevel="0" collapsed="false">
      <c r="A77" s="4" t="s">
        <v>406</v>
      </c>
      <c r="B77" s="4" t="n">
        <v>50</v>
      </c>
      <c r="C77" s="4" t="s">
        <v>17</v>
      </c>
      <c r="D77" s="4" t="s">
        <v>17</v>
      </c>
      <c r="E77" s="4" t="n">
        <v>2020</v>
      </c>
      <c r="F77" s="4" t="s">
        <v>407</v>
      </c>
      <c r="G77" s="4" t="s">
        <v>73</v>
      </c>
      <c r="H77" s="4" t="s">
        <v>79</v>
      </c>
      <c r="I77" s="4" t="s">
        <v>408</v>
      </c>
      <c r="J77" s="4" t="s">
        <v>227</v>
      </c>
      <c r="K77" s="6" t="s">
        <v>409</v>
      </c>
      <c r="L77" s="13" t="s">
        <v>410</v>
      </c>
      <c r="M77" s="4" t="n">
        <v>1410</v>
      </c>
      <c r="N77" s="4" t="n">
        <v>1410</v>
      </c>
      <c r="O77" s="9" t="s">
        <v>25</v>
      </c>
      <c r="P77" s="9" t="s">
        <v>82</v>
      </c>
    </row>
    <row r="78" customFormat="false" ht="114.75" hidden="false" customHeight="true" outlineLevel="0" collapsed="false">
      <c r="A78" s="4" t="s">
        <v>406</v>
      </c>
      <c r="B78" s="4" t="n">
        <v>50</v>
      </c>
      <c r="C78" s="4" t="s">
        <v>411</v>
      </c>
      <c r="D78" s="4" t="s">
        <v>28</v>
      </c>
      <c r="E78" s="4" t="n">
        <v>2023</v>
      </c>
      <c r="F78" s="4" t="s">
        <v>412</v>
      </c>
      <c r="G78" s="4" t="s">
        <v>73</v>
      </c>
      <c r="H78" s="4" t="s">
        <v>79</v>
      </c>
      <c r="I78" s="4" t="s">
        <v>413</v>
      </c>
      <c r="J78" s="4" t="s">
        <v>221</v>
      </c>
      <c r="K78" s="6" t="s">
        <v>414</v>
      </c>
      <c r="L78" s="13" t="s">
        <v>410</v>
      </c>
      <c r="M78" s="4" t="n">
        <v>1500</v>
      </c>
      <c r="N78" s="4" t="n">
        <v>1500</v>
      </c>
      <c r="O78" s="9" t="s">
        <v>25</v>
      </c>
      <c r="P78" s="9" t="s">
        <v>82</v>
      </c>
    </row>
    <row r="79" customFormat="false" ht="114.75" hidden="false" customHeight="true" outlineLevel="0" collapsed="false">
      <c r="A79" s="4" t="s">
        <v>415</v>
      </c>
      <c r="B79" s="4" t="n">
        <v>51</v>
      </c>
      <c r="C79" s="4" t="s">
        <v>17</v>
      </c>
      <c r="D79" s="4" t="s">
        <v>17</v>
      </c>
      <c r="E79" s="4" t="n">
        <v>2025</v>
      </c>
      <c r="F79" s="4" t="s">
        <v>284</v>
      </c>
      <c r="G79" s="4" t="s">
        <v>73</v>
      </c>
      <c r="H79" s="4" t="s">
        <v>335</v>
      </c>
      <c r="I79" s="4" t="s">
        <v>416</v>
      </c>
      <c r="J79" s="4" t="s">
        <v>417</v>
      </c>
      <c r="K79" s="6" t="s">
        <v>418</v>
      </c>
      <c r="L79" s="7" t="s">
        <v>419</v>
      </c>
      <c r="M79" s="4" t="n">
        <v>600</v>
      </c>
      <c r="N79" s="4" t="n">
        <v>600</v>
      </c>
      <c r="O79" s="9" t="s">
        <v>25</v>
      </c>
      <c r="P79" s="9" t="s">
        <v>82</v>
      </c>
    </row>
    <row r="80" customFormat="false" ht="114.75" hidden="false" customHeight="true" outlineLevel="0" collapsed="false">
      <c r="A80" s="4" t="s">
        <v>420</v>
      </c>
      <c r="B80" s="4" t="n">
        <v>52</v>
      </c>
      <c r="C80" s="4" t="s">
        <v>421</v>
      </c>
      <c r="D80" s="4" t="s">
        <v>28</v>
      </c>
      <c r="E80" s="4" t="n">
        <v>2016</v>
      </c>
      <c r="F80" s="4" t="s">
        <v>244</v>
      </c>
      <c r="G80" s="4" t="s">
        <v>73</v>
      </c>
      <c r="H80" s="4" t="s">
        <v>335</v>
      </c>
      <c r="I80" s="4" t="s">
        <v>422</v>
      </c>
      <c r="J80" s="4" t="s">
        <v>423</v>
      </c>
      <c r="K80" s="6" t="s">
        <v>424</v>
      </c>
      <c r="L80" s="13" t="s">
        <v>425</v>
      </c>
      <c r="M80" s="4" t="n">
        <v>4000</v>
      </c>
      <c r="N80" s="4" t="n">
        <v>4000</v>
      </c>
      <c r="O80" s="9" t="s">
        <v>107</v>
      </c>
      <c r="P80" s="9" t="s">
        <v>82</v>
      </c>
    </row>
    <row r="81" customFormat="false" ht="114.75" hidden="false" customHeight="true" outlineLevel="0" collapsed="false">
      <c r="A81" s="4" t="s">
        <v>420</v>
      </c>
      <c r="B81" s="4" t="n">
        <v>52</v>
      </c>
      <c r="C81" s="4" t="s">
        <v>411</v>
      </c>
      <c r="D81" s="4" t="s">
        <v>90</v>
      </c>
      <c r="E81" s="4" t="n">
        <v>2020</v>
      </c>
      <c r="F81" s="4" t="s">
        <v>426</v>
      </c>
      <c r="G81" s="4" t="s">
        <v>73</v>
      </c>
      <c r="H81" s="4" t="s">
        <v>335</v>
      </c>
      <c r="I81" s="4" t="s">
        <v>427</v>
      </c>
      <c r="J81" s="4" t="s">
        <v>423</v>
      </c>
      <c r="K81" s="6" t="s">
        <v>428</v>
      </c>
      <c r="L81" s="13" t="s">
        <v>425</v>
      </c>
      <c r="M81" s="4" t="n">
        <v>2000</v>
      </c>
      <c r="N81" s="4" t="n">
        <v>2000</v>
      </c>
      <c r="O81" s="9" t="s">
        <v>107</v>
      </c>
      <c r="P81" s="9" t="s">
        <v>82</v>
      </c>
    </row>
    <row r="82" customFormat="false" ht="114.75" hidden="false" customHeight="true" outlineLevel="0" collapsed="false">
      <c r="A82" s="4" t="s">
        <v>420</v>
      </c>
      <c r="B82" s="4" t="n">
        <v>52</v>
      </c>
      <c r="C82" s="4" t="s">
        <v>429</v>
      </c>
      <c r="D82" s="4" t="s">
        <v>96</v>
      </c>
      <c r="E82" s="4" t="n">
        <v>2025</v>
      </c>
      <c r="F82" s="4" t="s">
        <v>289</v>
      </c>
      <c r="G82" s="4" t="s">
        <v>73</v>
      </c>
      <c r="H82" s="4" t="s">
        <v>335</v>
      </c>
      <c r="I82" s="4" t="s">
        <v>430</v>
      </c>
      <c r="J82" s="4" t="s">
        <v>423</v>
      </c>
      <c r="K82" s="6" t="s">
        <v>431</v>
      </c>
      <c r="L82" s="13" t="s">
        <v>425</v>
      </c>
      <c r="M82" s="4" t="n">
        <v>74.3</v>
      </c>
      <c r="N82" s="4" t="n">
        <v>74.3</v>
      </c>
      <c r="O82" s="9" t="s">
        <v>107</v>
      </c>
      <c r="P82" s="9" t="s">
        <v>82</v>
      </c>
    </row>
    <row r="83" s="18" customFormat="true" ht="114.75" hidden="false" customHeight="true" outlineLevel="0" collapsed="false">
      <c r="A83" s="4" t="s">
        <v>432</v>
      </c>
      <c r="B83" s="4" t="n">
        <v>53</v>
      </c>
      <c r="C83" s="4" t="s">
        <v>17</v>
      </c>
      <c r="D83" s="4" t="s">
        <v>17</v>
      </c>
      <c r="E83" s="4" t="n">
        <v>2024</v>
      </c>
      <c r="F83" s="4" t="s">
        <v>433</v>
      </c>
      <c r="G83" s="4" t="s">
        <v>73</v>
      </c>
      <c r="H83" s="4" t="s">
        <v>335</v>
      </c>
      <c r="I83" s="4" t="s">
        <v>434</v>
      </c>
      <c r="J83" s="4" t="s">
        <v>423</v>
      </c>
      <c r="K83" s="6" t="s">
        <v>435</v>
      </c>
      <c r="L83" s="13" t="s">
        <v>436</v>
      </c>
      <c r="M83" s="4" t="n">
        <v>7000</v>
      </c>
      <c r="N83" s="4" t="n">
        <v>7000</v>
      </c>
      <c r="O83" s="9" t="s">
        <v>107</v>
      </c>
      <c r="P83" s="9" t="s">
        <v>82</v>
      </c>
    </row>
    <row r="84" s="18" customFormat="true" ht="114.75" hidden="false" customHeight="true" outlineLevel="0" collapsed="false">
      <c r="A84" s="4" t="s">
        <v>432</v>
      </c>
      <c r="B84" s="4" t="n">
        <v>53</v>
      </c>
      <c r="C84" s="4" t="s">
        <v>437</v>
      </c>
      <c r="D84" s="4" t="s">
        <v>28</v>
      </c>
      <c r="E84" s="4" t="n">
        <v>2024</v>
      </c>
      <c r="F84" s="4" t="s">
        <v>433</v>
      </c>
      <c r="G84" s="4" t="s">
        <v>73</v>
      </c>
      <c r="H84" s="4" t="s">
        <v>335</v>
      </c>
      <c r="I84" s="4" t="s">
        <v>438</v>
      </c>
      <c r="J84" s="4" t="s">
        <v>439</v>
      </c>
      <c r="K84" s="6" t="s">
        <v>440</v>
      </c>
      <c r="L84" s="13" t="s">
        <v>436</v>
      </c>
      <c r="M84" s="4" t="n">
        <v>520</v>
      </c>
      <c r="N84" s="4" t="n">
        <v>520</v>
      </c>
      <c r="O84" s="8" t="s">
        <v>38</v>
      </c>
      <c r="P84" s="8" t="s">
        <v>82</v>
      </c>
    </row>
    <row r="85" customFormat="false" ht="114.75" hidden="false" customHeight="true" outlineLevel="0" collapsed="false">
      <c r="A85" s="4" t="s">
        <v>441</v>
      </c>
      <c r="B85" s="4" t="n">
        <v>54</v>
      </c>
      <c r="C85" s="4"/>
      <c r="D85" s="4" t="s">
        <v>17</v>
      </c>
      <c r="E85" s="4" t="n">
        <v>2024</v>
      </c>
      <c r="F85" s="4" t="s">
        <v>97</v>
      </c>
      <c r="G85" s="4" t="s">
        <v>73</v>
      </c>
      <c r="H85" s="4" t="s">
        <v>335</v>
      </c>
      <c r="I85" s="4" t="s">
        <v>442</v>
      </c>
      <c r="J85" s="4" t="s">
        <v>443</v>
      </c>
      <c r="K85" s="6" t="s">
        <v>444</v>
      </c>
      <c r="L85" s="7" t="s">
        <v>445</v>
      </c>
      <c r="M85" s="4" t="n">
        <v>8500</v>
      </c>
      <c r="N85" s="4" t="n">
        <f aca="false">M85*0.14</f>
        <v>1190</v>
      </c>
      <c r="O85" s="9" t="s">
        <v>107</v>
      </c>
      <c r="P85" s="9" t="s">
        <v>82</v>
      </c>
    </row>
    <row r="86" customFormat="false" ht="114.75" hidden="false" customHeight="true" outlineLevel="0" collapsed="false">
      <c r="A86" s="4" t="s">
        <v>16</v>
      </c>
      <c r="B86" s="4" t="n">
        <v>1</v>
      </c>
      <c r="C86" s="4" t="s">
        <v>446</v>
      </c>
      <c r="D86" s="4" t="s">
        <v>307</v>
      </c>
      <c r="E86" s="4" t="n">
        <v>2022</v>
      </c>
      <c r="F86" s="4" t="s">
        <v>18</v>
      </c>
      <c r="G86" s="5" t="s">
        <v>19</v>
      </c>
      <c r="H86" s="4" t="s">
        <v>66</v>
      </c>
      <c r="I86" s="4" t="s">
        <v>447</v>
      </c>
      <c r="J86" s="4" t="s">
        <v>25</v>
      </c>
      <c r="K86" s="6" t="s">
        <v>448</v>
      </c>
      <c r="L86" s="7" t="s">
        <v>24</v>
      </c>
      <c r="M86" s="4" t="n">
        <v>39000</v>
      </c>
      <c r="N86" s="4" t="n">
        <v>39000</v>
      </c>
      <c r="O86" s="9" t="s">
        <v>25</v>
      </c>
      <c r="P86" s="9" t="s">
        <v>66</v>
      </c>
    </row>
    <row r="87" customFormat="false" ht="114.75" hidden="false" customHeight="true" outlineLevel="0" collapsed="false">
      <c r="A87" s="4" t="s">
        <v>449</v>
      </c>
      <c r="B87" s="4" t="n">
        <v>55</v>
      </c>
      <c r="C87" s="4" t="s">
        <v>17</v>
      </c>
      <c r="D87" s="4" t="s">
        <v>17</v>
      </c>
      <c r="E87" s="4" t="n">
        <v>2023</v>
      </c>
      <c r="F87" s="4" t="s">
        <v>109</v>
      </c>
      <c r="G87" s="4" t="s">
        <v>128</v>
      </c>
      <c r="H87" s="4" t="s">
        <v>40</v>
      </c>
      <c r="I87" s="4" t="s">
        <v>17</v>
      </c>
      <c r="J87" s="4" t="s">
        <v>38</v>
      </c>
      <c r="K87" s="6" t="s">
        <v>450</v>
      </c>
      <c r="L87" s="13" t="s">
        <v>451</v>
      </c>
      <c r="M87" s="9" t="s">
        <v>17</v>
      </c>
      <c r="N87" s="9" t="s">
        <v>17</v>
      </c>
      <c r="O87" s="9" t="s">
        <v>38</v>
      </c>
      <c r="P87" s="9" t="s">
        <v>45</v>
      </c>
    </row>
    <row r="88" customFormat="false" ht="114.75" hidden="false" customHeight="true" outlineLevel="0" collapsed="false">
      <c r="A88" s="4" t="s">
        <v>168</v>
      </c>
      <c r="B88" s="4" t="n">
        <v>20</v>
      </c>
      <c r="C88" s="4" t="s">
        <v>452</v>
      </c>
      <c r="D88" s="4" t="s">
        <v>28</v>
      </c>
      <c r="E88" s="4" t="n">
        <v>2021</v>
      </c>
      <c r="F88" s="4" t="s">
        <v>114</v>
      </c>
      <c r="G88" s="4" t="s">
        <v>128</v>
      </c>
      <c r="H88" s="4" t="s">
        <v>59</v>
      </c>
      <c r="I88" s="4" t="s">
        <v>453</v>
      </c>
      <c r="J88" s="4" t="s">
        <v>454</v>
      </c>
      <c r="K88" s="6" t="s">
        <v>455</v>
      </c>
      <c r="L88" s="7" t="s">
        <v>456</v>
      </c>
      <c r="M88" s="9" t="s">
        <v>17</v>
      </c>
      <c r="N88" s="9" t="s">
        <v>17</v>
      </c>
      <c r="O88" s="9" t="s">
        <v>107</v>
      </c>
      <c r="P88" s="9" t="s">
        <v>59</v>
      </c>
    </row>
    <row r="89" customFormat="false" ht="114.75" hidden="false" customHeight="true" outlineLevel="0" collapsed="false">
      <c r="A89" s="4" t="s">
        <v>168</v>
      </c>
      <c r="B89" s="4" t="n">
        <v>20</v>
      </c>
      <c r="C89" s="4" t="s">
        <v>457</v>
      </c>
      <c r="D89" s="4" t="s">
        <v>90</v>
      </c>
      <c r="E89" s="4" t="n">
        <v>2021</v>
      </c>
      <c r="F89" s="4" t="s">
        <v>458</v>
      </c>
      <c r="G89" s="4" t="s">
        <v>128</v>
      </c>
      <c r="H89" s="4" t="s">
        <v>66</v>
      </c>
      <c r="I89" s="4" t="s">
        <v>17</v>
      </c>
      <c r="J89" s="4" t="s">
        <v>459</v>
      </c>
      <c r="K89" s="6" t="s">
        <v>460</v>
      </c>
      <c r="L89" s="7" t="s">
        <v>461</v>
      </c>
      <c r="M89" s="9" t="s">
        <v>17</v>
      </c>
      <c r="N89" s="9" t="s">
        <v>17</v>
      </c>
      <c r="O89" s="9" t="s">
        <v>119</v>
      </c>
      <c r="P89" s="9" t="s">
        <v>66</v>
      </c>
    </row>
    <row r="90" customFormat="false" ht="114.75" hidden="false" customHeight="true" outlineLevel="0" collapsed="false">
      <c r="A90" s="5" t="s">
        <v>462</v>
      </c>
      <c r="B90" s="4" t="n">
        <v>56</v>
      </c>
      <c r="C90" s="5" t="s">
        <v>17</v>
      </c>
      <c r="D90" s="4" t="s">
        <v>17</v>
      </c>
      <c r="E90" s="4" t="n">
        <v>2021</v>
      </c>
      <c r="F90" s="4" t="s">
        <v>463</v>
      </c>
      <c r="G90" s="4" t="s">
        <v>193</v>
      </c>
      <c r="H90" s="4" t="s">
        <v>66</v>
      </c>
      <c r="I90" s="4" t="s">
        <v>464</v>
      </c>
      <c r="J90" s="4" t="s">
        <v>119</v>
      </c>
      <c r="K90" s="6" t="s">
        <v>465</v>
      </c>
      <c r="L90" s="7" t="s">
        <v>466</v>
      </c>
      <c r="M90" s="4" t="n">
        <v>1650</v>
      </c>
      <c r="N90" s="4" t="n">
        <f aca="false">M90*1.17</f>
        <v>1930.5</v>
      </c>
      <c r="O90" s="9" t="s">
        <v>119</v>
      </c>
      <c r="P90" s="9" t="s">
        <v>66</v>
      </c>
    </row>
    <row r="91" customFormat="false" ht="114.75" hidden="false" customHeight="true" outlineLevel="0" collapsed="false">
      <c r="A91" s="5" t="s">
        <v>467</v>
      </c>
      <c r="B91" s="4" t="n">
        <v>57</v>
      </c>
      <c r="C91" s="5" t="s">
        <v>17</v>
      </c>
      <c r="D91" s="4" t="s">
        <v>17</v>
      </c>
      <c r="E91" s="4" t="n">
        <v>2021</v>
      </c>
      <c r="F91" s="4" t="s">
        <v>463</v>
      </c>
      <c r="G91" s="4" t="s">
        <v>193</v>
      </c>
      <c r="H91" s="4" t="s">
        <v>66</v>
      </c>
      <c r="I91" s="4" t="s">
        <v>464</v>
      </c>
      <c r="J91" s="4" t="s">
        <v>468</v>
      </c>
      <c r="K91" s="6" t="s">
        <v>469</v>
      </c>
      <c r="L91" s="7" t="s">
        <v>466</v>
      </c>
      <c r="M91" s="4" t="n">
        <v>1650</v>
      </c>
      <c r="N91" s="4" t="n">
        <f aca="false">M91*1.17</f>
        <v>1930.5</v>
      </c>
      <c r="O91" s="9" t="s">
        <v>44</v>
      </c>
      <c r="P91" s="9" t="s">
        <v>66</v>
      </c>
    </row>
    <row r="92" customFormat="false" ht="114.75" hidden="false" customHeight="true" outlineLevel="0" collapsed="false">
      <c r="A92" s="5" t="s">
        <v>462</v>
      </c>
      <c r="B92" s="4" t="n">
        <v>56</v>
      </c>
      <c r="C92" s="4" t="s">
        <v>470</v>
      </c>
      <c r="D92" s="4" t="s">
        <v>28</v>
      </c>
      <c r="E92" s="4" t="n">
        <v>2014</v>
      </c>
      <c r="F92" s="4" t="s">
        <v>471</v>
      </c>
      <c r="G92" s="4" t="s">
        <v>193</v>
      </c>
      <c r="H92" s="4" t="s">
        <v>66</v>
      </c>
      <c r="I92" s="4" t="s">
        <v>472</v>
      </c>
      <c r="J92" s="4" t="s">
        <v>473</v>
      </c>
      <c r="K92" s="6" t="s">
        <v>474</v>
      </c>
      <c r="L92" s="7" t="s">
        <v>475</v>
      </c>
      <c r="M92" s="4" t="n">
        <v>4800</v>
      </c>
      <c r="N92" s="4" t="n">
        <f aca="false">M92*1.17</f>
        <v>5616</v>
      </c>
      <c r="O92" s="9" t="s">
        <v>119</v>
      </c>
      <c r="P92" s="9" t="s">
        <v>66</v>
      </c>
    </row>
    <row r="93" customFormat="false" ht="114.75" hidden="false" customHeight="true" outlineLevel="0" collapsed="false">
      <c r="A93" s="4" t="s">
        <v>16</v>
      </c>
      <c r="B93" s="4" t="n">
        <v>1</v>
      </c>
      <c r="C93" s="4" t="s">
        <v>476</v>
      </c>
      <c r="D93" s="4" t="s">
        <v>313</v>
      </c>
      <c r="E93" s="4" t="n">
        <v>2022</v>
      </c>
      <c r="F93" s="4" t="s">
        <v>18</v>
      </c>
      <c r="G93" s="5" t="s">
        <v>19</v>
      </c>
      <c r="H93" s="4" t="s">
        <v>66</v>
      </c>
      <c r="I93" s="4" t="s">
        <v>477</v>
      </c>
      <c r="J93" s="4" t="s">
        <v>25</v>
      </c>
      <c r="K93" s="6" t="s">
        <v>478</v>
      </c>
      <c r="L93" s="7" t="s">
        <v>479</v>
      </c>
      <c r="M93" s="4" t="n">
        <v>2000</v>
      </c>
      <c r="N93" s="4" t="n">
        <v>2000</v>
      </c>
      <c r="O93" s="9" t="s">
        <v>25</v>
      </c>
      <c r="P93" s="9" t="s">
        <v>66</v>
      </c>
    </row>
    <row r="94" customFormat="false" ht="114.75" hidden="false" customHeight="true" outlineLevel="0" collapsed="false">
      <c r="A94" s="4" t="s">
        <v>64</v>
      </c>
      <c r="B94" s="4" t="n">
        <v>6</v>
      </c>
      <c r="C94" s="4" t="s">
        <v>480</v>
      </c>
      <c r="D94" s="4" t="s">
        <v>28</v>
      </c>
      <c r="E94" s="4" t="n">
        <v>2023</v>
      </c>
      <c r="F94" s="4" t="s">
        <v>175</v>
      </c>
      <c r="G94" s="5" t="s">
        <v>19</v>
      </c>
      <c r="H94" s="4" t="s">
        <v>66</v>
      </c>
      <c r="I94" s="4" t="s">
        <v>481</v>
      </c>
      <c r="J94" s="4" t="s">
        <v>423</v>
      </c>
      <c r="K94" s="6" t="s">
        <v>482</v>
      </c>
      <c r="L94" s="7" t="s">
        <v>70</v>
      </c>
      <c r="M94" s="4" t="n">
        <v>948</v>
      </c>
      <c r="N94" s="4" t="n">
        <v>948</v>
      </c>
      <c r="O94" s="9" t="s">
        <v>25</v>
      </c>
      <c r="P94" s="9" t="s">
        <v>66</v>
      </c>
    </row>
    <row r="95" customFormat="false" ht="114.75" hidden="false" customHeight="true" outlineLevel="0" collapsed="false">
      <c r="A95" s="4" t="s">
        <v>64</v>
      </c>
      <c r="B95" s="4" t="n">
        <v>6</v>
      </c>
      <c r="C95" s="4" t="s">
        <v>483</v>
      </c>
      <c r="D95" s="4" t="s">
        <v>90</v>
      </c>
      <c r="E95" s="4" t="n">
        <v>2023</v>
      </c>
      <c r="F95" s="4" t="s">
        <v>175</v>
      </c>
      <c r="G95" s="5" t="s">
        <v>19</v>
      </c>
      <c r="H95" s="4" t="s">
        <v>66</v>
      </c>
      <c r="I95" s="4" t="s">
        <v>484</v>
      </c>
      <c r="J95" s="4" t="s">
        <v>119</v>
      </c>
      <c r="K95" s="6" t="s">
        <v>485</v>
      </c>
      <c r="L95" s="7" t="s">
        <v>70</v>
      </c>
      <c r="M95" s="4" t="n">
        <v>660</v>
      </c>
      <c r="N95" s="4" t="n">
        <v>660</v>
      </c>
      <c r="O95" s="9" t="s">
        <v>119</v>
      </c>
      <c r="P95" s="9" t="s">
        <v>66</v>
      </c>
    </row>
    <row r="96" customFormat="false" ht="114.75" hidden="false" customHeight="true" outlineLevel="0" collapsed="false">
      <c r="A96" s="4" t="s">
        <v>71</v>
      </c>
      <c r="B96" s="4" t="n">
        <v>7</v>
      </c>
      <c r="C96" s="4" t="s">
        <v>486</v>
      </c>
      <c r="D96" s="4" t="s">
        <v>28</v>
      </c>
      <c r="E96" s="4" t="n">
        <v>2016</v>
      </c>
      <c r="F96" s="4" t="s">
        <v>244</v>
      </c>
      <c r="G96" s="4" t="s">
        <v>73</v>
      </c>
      <c r="H96" s="4" t="s">
        <v>74</v>
      </c>
      <c r="I96" s="4" t="s">
        <v>487</v>
      </c>
      <c r="J96" s="4" t="s">
        <v>488</v>
      </c>
      <c r="K96" s="6" t="s">
        <v>489</v>
      </c>
      <c r="L96" s="13" t="s">
        <v>490</v>
      </c>
      <c r="M96" s="9" t="s">
        <v>17</v>
      </c>
      <c r="N96" s="9" t="s">
        <v>17</v>
      </c>
      <c r="O96" s="9" t="s">
        <v>107</v>
      </c>
      <c r="P96" s="9" t="s">
        <v>74</v>
      </c>
    </row>
    <row r="97" customFormat="false" ht="114.75" hidden="false" customHeight="true" outlineLevel="0" collapsed="false">
      <c r="A97" s="4" t="s">
        <v>71</v>
      </c>
      <c r="B97" s="4" t="n">
        <v>7</v>
      </c>
      <c r="C97" s="4" t="s">
        <v>491</v>
      </c>
      <c r="D97" s="4" t="s">
        <v>90</v>
      </c>
      <c r="E97" s="4" t="n">
        <v>2020</v>
      </c>
      <c r="F97" s="4" t="s">
        <v>237</v>
      </c>
      <c r="G97" s="4" t="s">
        <v>73</v>
      </c>
      <c r="H97" s="4" t="s">
        <v>74</v>
      </c>
      <c r="I97" s="4" t="s">
        <v>487</v>
      </c>
      <c r="J97" s="4" t="s">
        <v>492</v>
      </c>
      <c r="K97" s="6" t="s">
        <v>493</v>
      </c>
      <c r="L97" s="13" t="s">
        <v>494</v>
      </c>
      <c r="M97" s="9" t="s">
        <v>17</v>
      </c>
      <c r="N97" s="9" t="s">
        <v>17</v>
      </c>
      <c r="O97" s="9" t="s">
        <v>44</v>
      </c>
      <c r="P97" s="9" t="s">
        <v>74</v>
      </c>
    </row>
    <row r="98" customFormat="false" ht="114.75" hidden="false" customHeight="true" outlineLevel="0" collapsed="false">
      <c r="A98" s="4" t="s">
        <v>495</v>
      </c>
      <c r="B98" s="4" t="n">
        <v>58</v>
      </c>
      <c r="C98" s="4" t="s">
        <v>17</v>
      </c>
      <c r="D98" s="4" t="s">
        <v>17</v>
      </c>
      <c r="E98" s="4" t="n">
        <v>2019</v>
      </c>
      <c r="F98" s="4" t="s">
        <v>496</v>
      </c>
      <c r="G98" s="4" t="s">
        <v>163</v>
      </c>
      <c r="H98" s="4" t="s">
        <v>497</v>
      </c>
      <c r="I98" s="4" t="s">
        <v>498</v>
      </c>
      <c r="J98" s="4" t="s">
        <v>499</v>
      </c>
      <c r="K98" s="6" t="s">
        <v>500</v>
      </c>
      <c r="L98" s="13" t="s">
        <v>501</v>
      </c>
      <c r="M98" s="4" t="n">
        <v>1960000</v>
      </c>
      <c r="N98" s="4" t="n">
        <f aca="false">M98*0.00068</f>
        <v>1332.8</v>
      </c>
      <c r="O98" s="9" t="s">
        <v>44</v>
      </c>
      <c r="P98" s="9" t="s">
        <v>74</v>
      </c>
    </row>
    <row r="99" customFormat="false" ht="114.75" hidden="false" customHeight="true" outlineLevel="0" collapsed="false">
      <c r="A99" s="4" t="s">
        <v>502</v>
      </c>
      <c r="B99" s="4" t="n">
        <v>59</v>
      </c>
      <c r="C99" s="4" t="s">
        <v>17</v>
      </c>
      <c r="D99" s="4" t="s">
        <v>17</v>
      </c>
      <c r="E99" s="4" t="n">
        <v>2020</v>
      </c>
      <c r="F99" s="4" t="s">
        <v>496</v>
      </c>
      <c r="G99" s="4" t="s">
        <v>128</v>
      </c>
      <c r="H99" s="4" t="s">
        <v>66</v>
      </c>
      <c r="I99" s="4" t="s">
        <v>503</v>
      </c>
      <c r="J99" s="4" t="s">
        <v>504</v>
      </c>
      <c r="K99" s="6" t="s">
        <v>505</v>
      </c>
      <c r="L99" s="7" t="s">
        <v>506</v>
      </c>
      <c r="M99" s="4" t="n">
        <v>550000</v>
      </c>
      <c r="N99" s="4" t="n">
        <f aca="false">M99*0.0063</f>
        <v>3465</v>
      </c>
      <c r="O99" s="9" t="s">
        <v>110</v>
      </c>
      <c r="P99" s="9" t="s">
        <v>66</v>
      </c>
    </row>
    <row r="100" customFormat="false" ht="114.75" hidden="false" customHeight="true" outlineLevel="0" collapsed="false">
      <c r="A100" s="4" t="s">
        <v>507</v>
      </c>
      <c r="B100" s="4" t="n">
        <v>60</v>
      </c>
      <c r="C100" s="4" t="s">
        <v>487</v>
      </c>
      <c r="D100" s="4" t="s">
        <v>17</v>
      </c>
      <c r="E100" s="4" t="n">
        <v>2021</v>
      </c>
      <c r="F100" s="4" t="s">
        <v>508</v>
      </c>
      <c r="G100" s="4" t="s">
        <v>128</v>
      </c>
      <c r="H100" s="4" t="s">
        <v>74</v>
      </c>
      <c r="I100" s="4" t="s">
        <v>487</v>
      </c>
      <c r="J100" s="4" t="s">
        <v>119</v>
      </c>
      <c r="K100" s="6" t="s">
        <v>509</v>
      </c>
      <c r="L100" s="13" t="s">
        <v>510</v>
      </c>
      <c r="M100" s="9" t="s">
        <v>17</v>
      </c>
      <c r="N100" s="9" t="s">
        <v>17</v>
      </c>
      <c r="O100" s="9" t="s">
        <v>119</v>
      </c>
      <c r="P100" s="9" t="s">
        <v>74</v>
      </c>
    </row>
    <row r="101" customFormat="false" ht="114.75" hidden="false" customHeight="true" outlineLevel="0" collapsed="false">
      <c r="A101" s="4" t="s">
        <v>147</v>
      </c>
      <c r="B101" s="4" t="n">
        <v>16</v>
      </c>
      <c r="C101" s="4" t="s">
        <v>511</v>
      </c>
      <c r="D101" s="8" t="s">
        <v>28</v>
      </c>
      <c r="E101" s="4" t="n">
        <v>2022</v>
      </c>
      <c r="F101" s="4" t="s">
        <v>53</v>
      </c>
      <c r="G101" s="4" t="s">
        <v>128</v>
      </c>
      <c r="H101" s="4" t="s">
        <v>66</v>
      </c>
      <c r="I101" s="4" t="s">
        <v>512</v>
      </c>
      <c r="J101" s="4" t="s">
        <v>119</v>
      </c>
      <c r="K101" s="9" t="s">
        <v>513</v>
      </c>
      <c r="L101" s="19" t="s">
        <v>514</v>
      </c>
      <c r="M101" s="4" t="n">
        <v>250000</v>
      </c>
      <c r="N101" s="4" t="n">
        <f aca="false">M101*0.0063</f>
        <v>1575</v>
      </c>
      <c r="O101" s="9" t="s">
        <v>119</v>
      </c>
      <c r="P101" s="9" t="s">
        <v>66</v>
      </c>
    </row>
    <row r="102" customFormat="false" ht="114.75" hidden="false" customHeight="true" outlineLevel="0" collapsed="false">
      <c r="A102" s="20" t="s">
        <v>515</v>
      </c>
      <c r="B102" s="21" t="n">
        <v>61</v>
      </c>
      <c r="C102" s="20" t="s">
        <v>17</v>
      </c>
      <c r="D102" s="20" t="s">
        <v>17</v>
      </c>
      <c r="E102" s="21" t="n">
        <v>2025</v>
      </c>
      <c r="F102" s="20" t="s">
        <v>320</v>
      </c>
      <c r="G102" s="20" t="s">
        <v>163</v>
      </c>
      <c r="H102" s="20" t="s">
        <v>335</v>
      </c>
      <c r="I102" s="20" t="s">
        <v>516</v>
      </c>
      <c r="J102" s="20" t="s">
        <v>517</v>
      </c>
      <c r="K102" s="22" t="s">
        <v>518</v>
      </c>
      <c r="L102" s="23" t="s">
        <v>519</v>
      </c>
      <c r="M102" s="4" t="n">
        <v>20900000</v>
      </c>
      <c r="N102" s="4" t="n">
        <f aca="false">M102*0.00068</f>
        <v>14212</v>
      </c>
      <c r="O102" s="9" t="s">
        <v>107</v>
      </c>
      <c r="P102" s="9" t="s">
        <v>82</v>
      </c>
    </row>
    <row r="103" customFormat="false" ht="114.75" hidden="false" customHeight="true" outlineLevel="0" collapsed="false">
      <c r="A103" s="4" t="s">
        <v>32</v>
      </c>
      <c r="B103" s="4" t="n">
        <v>2</v>
      </c>
      <c r="C103" s="4" t="s">
        <v>520</v>
      </c>
      <c r="D103" s="8" t="s">
        <v>28</v>
      </c>
      <c r="E103" s="4" t="n">
        <v>2025</v>
      </c>
      <c r="F103" s="4" t="s">
        <v>521</v>
      </c>
      <c r="G103" s="4" t="s">
        <v>19</v>
      </c>
      <c r="H103" s="4" t="s">
        <v>34</v>
      </c>
      <c r="I103" s="4" t="s">
        <v>17</v>
      </c>
      <c r="J103" s="4" t="s">
        <v>35</v>
      </c>
      <c r="K103" s="9" t="s">
        <v>522</v>
      </c>
      <c r="L103" s="19" t="s">
        <v>523</v>
      </c>
      <c r="M103" s="9" t="s">
        <v>17</v>
      </c>
      <c r="N103" s="9" t="s">
        <v>17</v>
      </c>
      <c r="O103" s="9" t="s">
        <v>110</v>
      </c>
      <c r="P103" s="9" t="s">
        <v>34</v>
      </c>
    </row>
    <row r="104" customFormat="false" ht="114.75" hidden="false" customHeight="true" outlineLevel="0" collapsed="false">
      <c r="A104" s="4" t="s">
        <v>524</v>
      </c>
      <c r="B104" s="4" t="n">
        <v>62</v>
      </c>
      <c r="C104" s="4" t="s">
        <v>17</v>
      </c>
      <c r="D104" s="8" t="s">
        <v>17</v>
      </c>
      <c r="E104" s="4" t="n">
        <v>2025</v>
      </c>
      <c r="F104" s="4" t="s">
        <v>268</v>
      </c>
      <c r="G104" s="4" t="s">
        <v>73</v>
      </c>
      <c r="H104" s="4" t="s">
        <v>48</v>
      </c>
      <c r="I104" s="4" t="s">
        <v>17</v>
      </c>
      <c r="J104" s="4" t="s">
        <v>38</v>
      </c>
      <c r="K104" s="9" t="s">
        <v>525</v>
      </c>
      <c r="L104" s="19" t="s">
        <v>526</v>
      </c>
      <c r="M104" s="9" t="s">
        <v>17</v>
      </c>
      <c r="N104" s="9" t="s">
        <v>17</v>
      </c>
      <c r="O104" s="9" t="s">
        <v>38</v>
      </c>
      <c r="P104" s="9" t="s">
        <v>45</v>
      </c>
    </row>
    <row r="105" customFormat="false" ht="114.75" hidden="false" customHeight="true" outlineLevel="0" collapsed="false">
      <c r="A105" s="4" t="s">
        <v>185</v>
      </c>
      <c r="B105" s="4" t="n">
        <v>23</v>
      </c>
      <c r="C105" s="4" t="s">
        <v>527</v>
      </c>
      <c r="D105" s="8" t="s">
        <v>28</v>
      </c>
      <c r="E105" s="4" t="n">
        <v>2025</v>
      </c>
      <c r="F105" s="4" t="s">
        <v>528</v>
      </c>
      <c r="G105" s="4" t="s">
        <v>163</v>
      </c>
      <c r="H105" s="4" t="s">
        <v>529</v>
      </c>
      <c r="I105" s="8" t="s">
        <v>530</v>
      </c>
      <c r="J105" s="4" t="s">
        <v>531</v>
      </c>
      <c r="K105" s="8" t="s">
        <v>532</v>
      </c>
      <c r="L105" s="8" t="s">
        <v>533</v>
      </c>
      <c r="M105" s="4" t="n">
        <v>4800</v>
      </c>
      <c r="N105" s="4" t="n">
        <v>4800</v>
      </c>
      <c r="O105" s="9" t="s">
        <v>107</v>
      </c>
      <c r="P105" s="9" t="s">
        <v>82</v>
      </c>
    </row>
    <row r="106" customFormat="false" ht="78.75" hidden="false" customHeight="true" outlineLevel="0" collapsed="false">
      <c r="A106" s="4" t="s">
        <v>534</v>
      </c>
      <c r="B106" s="4" t="n">
        <v>64</v>
      </c>
      <c r="C106" s="4" t="s">
        <v>17</v>
      </c>
      <c r="D106" s="4" t="s">
        <v>17</v>
      </c>
      <c r="E106" s="4" t="n">
        <v>2022</v>
      </c>
      <c r="F106" s="4" t="s">
        <v>254</v>
      </c>
      <c r="G106" s="4" t="s">
        <v>163</v>
      </c>
      <c r="H106" s="4" t="s">
        <v>535</v>
      </c>
      <c r="I106" s="4" t="s">
        <v>536</v>
      </c>
      <c r="J106" s="4" t="s">
        <v>537</v>
      </c>
      <c r="K106" s="9" t="s">
        <v>538</v>
      </c>
      <c r="L106" s="24" t="s">
        <v>539</v>
      </c>
      <c r="M106" s="9" t="n">
        <v>400000</v>
      </c>
      <c r="N106" s="9" t="n">
        <f aca="false">M106*0.00068</f>
        <v>272</v>
      </c>
      <c r="O106" s="9" t="s">
        <v>44</v>
      </c>
      <c r="P106" s="9" t="s">
        <v>535</v>
      </c>
    </row>
    <row r="107" customFormat="false" ht="114.75" hidden="false" customHeight="true" outlineLevel="0" collapsed="false">
      <c r="A107" s="4" t="s">
        <v>540</v>
      </c>
      <c r="B107" s="4" t="s">
        <v>541</v>
      </c>
      <c r="C107" s="4" t="s">
        <v>17</v>
      </c>
      <c r="D107" s="4" t="s">
        <v>17</v>
      </c>
      <c r="E107" s="4" t="s">
        <v>542</v>
      </c>
      <c r="F107" s="4" t="s">
        <v>543</v>
      </c>
      <c r="G107" s="4" t="s">
        <v>163</v>
      </c>
      <c r="H107" s="4" t="s">
        <v>544</v>
      </c>
      <c r="I107" s="4" t="s">
        <v>545</v>
      </c>
      <c r="J107" s="4" t="s">
        <v>546</v>
      </c>
      <c r="K107" s="9" t="s">
        <v>547</v>
      </c>
      <c r="L107" s="24" t="s">
        <v>548</v>
      </c>
      <c r="M107" s="9" t="s">
        <v>17</v>
      </c>
      <c r="N107" s="9" t="s">
        <v>17</v>
      </c>
      <c r="O107" s="9" t="s">
        <v>107</v>
      </c>
      <c r="P107" s="9" t="s">
        <v>26</v>
      </c>
    </row>
    <row r="108" customFormat="false" ht="114.75" hidden="false" customHeight="true" outlineLevel="0" collapsed="false">
      <c r="A108" s="4" t="s">
        <v>549</v>
      </c>
      <c r="B108" s="4" t="n">
        <v>66</v>
      </c>
      <c r="C108" s="4" t="s">
        <v>17</v>
      </c>
      <c r="D108" s="4" t="s">
        <v>17</v>
      </c>
      <c r="E108" s="4" t="n">
        <v>2026</v>
      </c>
      <c r="F108" s="4" t="s">
        <v>550</v>
      </c>
      <c r="G108" s="4" t="s">
        <v>163</v>
      </c>
      <c r="H108" s="4" t="s">
        <v>544</v>
      </c>
      <c r="I108" s="4" t="s">
        <v>551</v>
      </c>
      <c r="J108" s="4" t="s">
        <v>552</v>
      </c>
      <c r="K108" s="9" t="s">
        <v>553</v>
      </c>
      <c r="L108" s="24" t="s">
        <v>554</v>
      </c>
      <c r="M108" s="9" t="s">
        <v>17</v>
      </c>
      <c r="N108" s="9" t="s">
        <v>17</v>
      </c>
      <c r="O108" s="9" t="s">
        <v>107</v>
      </c>
      <c r="P108" s="9" t="s">
        <v>26</v>
      </c>
    </row>
    <row r="109" customFormat="false" ht="114.75" hidden="false" customHeight="true" outlineLevel="0" collapsed="false">
      <c r="A109" s="4" t="s">
        <v>549</v>
      </c>
      <c r="B109" s="4" t="n">
        <v>66</v>
      </c>
      <c r="C109" s="4" t="s">
        <v>555</v>
      </c>
      <c r="D109" s="4" t="s">
        <v>28</v>
      </c>
      <c r="E109" s="4" t="n">
        <v>2026</v>
      </c>
      <c r="F109" s="4" t="s">
        <v>550</v>
      </c>
      <c r="G109" s="4" t="s">
        <v>163</v>
      </c>
      <c r="H109" s="4" t="s">
        <v>66</v>
      </c>
      <c r="I109" s="4" t="s">
        <v>556</v>
      </c>
      <c r="J109" s="4" t="s">
        <v>557</v>
      </c>
      <c r="K109" s="9" t="s">
        <v>558</v>
      </c>
      <c r="L109" s="24" t="s">
        <v>554</v>
      </c>
      <c r="M109" s="9" t="n">
        <v>30000000</v>
      </c>
      <c r="N109" s="9" t="n">
        <v>19400</v>
      </c>
      <c r="O109" s="9" t="s">
        <v>119</v>
      </c>
      <c r="P109" s="9" t="s">
        <v>66</v>
      </c>
      <c r="W109" s="25"/>
      <c r="X109" s="25"/>
      <c r="Y109" s="25"/>
      <c r="Z109" s="25"/>
    </row>
    <row r="110" customFormat="false" ht="114.75" hidden="false" customHeight="true" outlineLevel="0" collapsed="false">
      <c r="A110" s="4" t="s">
        <v>549</v>
      </c>
      <c r="B110" s="4" t="n">
        <v>66</v>
      </c>
      <c r="C110" s="4" t="s">
        <v>559</v>
      </c>
      <c r="D110" s="4" t="s">
        <v>90</v>
      </c>
      <c r="E110" s="4" t="n">
        <v>2026</v>
      </c>
      <c r="F110" s="4" t="s">
        <v>543</v>
      </c>
      <c r="G110" s="4" t="s">
        <v>163</v>
      </c>
      <c r="H110" s="4" t="s">
        <v>186</v>
      </c>
      <c r="I110" s="4" t="s">
        <v>560</v>
      </c>
      <c r="J110" s="4" t="s">
        <v>561</v>
      </c>
      <c r="K110" s="9" t="s">
        <v>562</v>
      </c>
      <c r="L110" s="24" t="s">
        <v>563</v>
      </c>
      <c r="M110" s="9" t="n">
        <v>11000000</v>
      </c>
      <c r="N110" s="9" t="n">
        <v>7800</v>
      </c>
      <c r="O110" s="9" t="s">
        <v>44</v>
      </c>
      <c r="P110" s="9" t="s">
        <v>66</v>
      </c>
      <c r="W110" s="25"/>
      <c r="X110" s="25"/>
      <c r="Y110" s="25"/>
    </row>
    <row r="111" customFormat="false" ht="114.75" hidden="false" customHeight="true" outlineLevel="0" collapsed="false">
      <c r="A111" s="4" t="s">
        <v>564</v>
      </c>
      <c r="B111" s="4" t="n">
        <v>67</v>
      </c>
      <c r="C111" s="4" t="s">
        <v>17</v>
      </c>
      <c r="D111" s="4" t="s">
        <v>17</v>
      </c>
      <c r="E111" s="4" t="n">
        <v>2026</v>
      </c>
      <c r="F111" s="4" t="s">
        <v>543</v>
      </c>
      <c r="G111" s="4" t="s">
        <v>193</v>
      </c>
      <c r="H111" s="4" t="s">
        <v>544</v>
      </c>
      <c r="I111" s="4" t="s">
        <v>17</v>
      </c>
      <c r="J111" s="4" t="s">
        <v>565</v>
      </c>
      <c r="K111" s="9" t="s">
        <v>566</v>
      </c>
      <c r="L111" s="24" t="s">
        <v>567</v>
      </c>
      <c r="M111" s="9" t="s">
        <v>17</v>
      </c>
      <c r="N111" s="9" t="s">
        <v>17</v>
      </c>
      <c r="O111" s="9" t="s">
        <v>107</v>
      </c>
      <c r="P111" s="9" t="s">
        <v>26</v>
      </c>
      <c r="W111" s="25"/>
      <c r="X111" s="25"/>
      <c r="Y111" s="25"/>
      <c r="Z111" s="24"/>
    </row>
    <row r="112" customFormat="false" ht="114.75" hidden="false" customHeight="true" outlineLevel="0" collapsed="false">
      <c r="A112" s="4" t="s">
        <v>568</v>
      </c>
      <c r="B112" s="4" t="n">
        <v>68</v>
      </c>
      <c r="C112" s="4" t="s">
        <v>17</v>
      </c>
      <c r="D112" s="4" t="s">
        <v>17</v>
      </c>
      <c r="E112" s="4" t="n">
        <v>2026</v>
      </c>
      <c r="F112" s="4" t="s">
        <v>320</v>
      </c>
      <c r="G112" s="4" t="s">
        <v>238</v>
      </c>
      <c r="H112" s="4" t="s">
        <v>66</v>
      </c>
      <c r="I112" s="4" t="s">
        <v>569</v>
      </c>
      <c r="J112" s="4" t="s">
        <v>570</v>
      </c>
      <c r="K112" s="9" t="s">
        <v>571</v>
      </c>
      <c r="L112" s="24" t="s">
        <v>572</v>
      </c>
      <c r="M112" s="9" t="n">
        <v>800</v>
      </c>
      <c r="N112" s="9" t="n">
        <v>620</v>
      </c>
      <c r="O112" s="9" t="s">
        <v>286</v>
      </c>
      <c r="P112" s="9" t="s">
        <v>66</v>
      </c>
      <c r="W112" s="25"/>
      <c r="X112" s="25"/>
      <c r="Y112" s="25"/>
      <c r="Z112" s="24"/>
    </row>
    <row r="113" customFormat="false" ht="114.75" hidden="false" customHeight="true" outlineLevel="0" collapsed="false">
      <c r="A113" s="4" t="s">
        <v>345</v>
      </c>
      <c r="B113" s="4" t="s">
        <v>573</v>
      </c>
      <c r="C113" s="4"/>
      <c r="D113" s="4" t="s">
        <v>17</v>
      </c>
      <c r="E113" s="4" t="n">
        <v>2021</v>
      </c>
      <c r="F113" s="4" t="s">
        <v>347</v>
      </c>
      <c r="G113" s="4" t="s">
        <v>348</v>
      </c>
      <c r="H113" s="4" t="s">
        <v>59</v>
      </c>
      <c r="I113" s="4" t="s">
        <v>17</v>
      </c>
      <c r="J113" s="4" t="s">
        <v>574</v>
      </c>
      <c r="K113" s="6" t="s">
        <v>575</v>
      </c>
      <c r="L113" s="7"/>
      <c r="M113" s="9" t="s">
        <v>17</v>
      </c>
      <c r="N113" s="9" t="s">
        <v>17</v>
      </c>
      <c r="O113" s="9" t="s">
        <v>107</v>
      </c>
      <c r="P113" s="9" t="s">
        <v>59</v>
      </c>
      <c r="W113" s="25"/>
      <c r="X113" s="25"/>
      <c r="Y113" s="25"/>
      <c r="Z113" s="24"/>
    </row>
    <row r="114" customFormat="false" ht="114.75" hidden="false" customHeight="true" outlineLevel="0" collapsed="false">
      <c r="A114" s="4" t="s">
        <v>420</v>
      </c>
      <c r="B114" s="4" t="s">
        <v>576</v>
      </c>
      <c r="C114" s="4"/>
      <c r="D114" s="4" t="s">
        <v>17</v>
      </c>
      <c r="E114" s="4" t="n">
        <v>2016</v>
      </c>
      <c r="F114" s="4" t="s">
        <v>577</v>
      </c>
      <c r="G114" s="4" t="s">
        <v>73</v>
      </c>
      <c r="H114" s="4" t="s">
        <v>335</v>
      </c>
      <c r="I114" s="4" t="s">
        <v>17</v>
      </c>
      <c r="J114" s="4" t="s">
        <v>423</v>
      </c>
      <c r="K114" s="6" t="s">
        <v>578</v>
      </c>
      <c r="L114" s="26"/>
      <c r="M114" s="4" t="s">
        <v>17</v>
      </c>
      <c r="N114" s="4" t="s">
        <v>17</v>
      </c>
      <c r="O114" s="9" t="s">
        <v>107</v>
      </c>
      <c r="P114" s="9" t="s">
        <v>82</v>
      </c>
      <c r="W114" s="25"/>
      <c r="X114" s="25"/>
      <c r="Y114" s="25"/>
    </row>
    <row r="115" customFormat="false" ht="114.75" hidden="false" customHeight="true" outlineLevel="0" collapsed="false">
      <c r="W115" s="25"/>
      <c r="X115" s="25"/>
      <c r="Y115" s="25"/>
      <c r="Z115" s="24"/>
    </row>
    <row r="1048576" customFormat="false" ht="114.75" hidden="false" customHeight="true" outlineLevel="0" collapsed="false"/>
  </sheetData>
  <hyperlinks>
    <hyperlink ref="L10" r:id="rId1" display="https://cset.georgetown.edu/wp-content/uploads/t0432_made_in_china_2025_EN.pdf?"/>
    <hyperlink ref="L13" r:id="rId2" display="https://m.bjnews.com.cn/detail/157201078715912.html?"/>
    <hyperlink ref="L14" r:id="rId3" display="https://english.www.gov.cn/news/202405/29/content_WS66569746c6d0868f4e8e7987.html?"/>
    <hyperlink ref="L16" r:id="rId4" display="https://www.winston.com/en/blogs-and-podcasts/global-trade-and-foreign-policy-insights/china-places-export-controls-on-raw-materials-used-in-semiconductor-manufacturing?"/>
    <hyperlink ref="L21" r:id="rId5" display="https://www.jetro.go.jp/ext_images/invest/ijre/report2022/; https://web-assets.bcg.com/25/6e/7a123efd40199020ed1b4114be84/emerging-resilience-in-the-semiconductor-supply-chain-r.pdf"/>
    <hyperlink ref="L22" r:id="rId6" display="https://www.jetro.go.jp/ext_images/invest/ijre/report2022/; https://web-assets.bcg.com/25/6e/7a123efd40199020ed1b4114be84/emerging-resilience-in-the-semiconductor-supply-chain-r.pdf"/>
    <hyperlink ref="L24" r:id="rId7" display="https://www.meti.go.jp/english/policy/0704_001.pdf; https://www.meti.go.jp/policy/mono_info_service/joho/post5g/pdf/20250207003.pdf?\"/>
    <hyperlink ref="L26" r:id="rId8" display="https://www.businesskorea.co.kr/news/articleView.html?idxno=48289;https://koreajoongangdaily.joins.com/2019/04/30/economy/Government-launches-plan-to-make-Korea-a-semiconductor-leader-by-2030/3062504.html"/>
    <hyperlink ref="L30" r:id="rId9" display="https://www.foi.se/rest-api/report/FOI%20Memo%208937"/>
    <hyperlink ref="L35" r:id="rId10" display="https://www.info.gouv.fr/upload/media/organization/0001/01/sites_default_files_contenu_piece-jointe_2022_07_22_-_dossier_de_presse_-_electronique_2030.pdf"/>
    <hyperlink ref="L64" r:id="rId11" display="https://www.lawplusltd.com/wp-content/uploads/kalins-pdf/singles/eastern-economic-corridor-act-b-e-2561-thailand.pdf?; https://incentives.eeco.or.th/en/benefit"/>
    <hyperlink ref="L66" r:id="rId12" display="https://osos.boi.go.th/download/BOI_PDF/BOI_A_Guide_2023_EN.pdf?"/>
    <hyperlink ref="L72" r:id="rId13" display="https://www.nist.gov/news-events/news/2023/11/chips-america-releases-vision-approximately-3-billion-national-advanced?"/>
    <hyperlink ref="L74" r:id="rId14" display="https://www.nist.gov/news-events/news/2024/05/jarvis-leaderboard-large-scale-benchmark-materials-design-methods?utm_source"/>
    <hyperlink ref="L75" r:id="rId15" display="https://www.nist.gov/news-events/news/2024/11/chips-america-announces-new-proposed-285-million-award-chips-manufacturing?"/>
    <hyperlink ref="L77" r:id="rId16" display="https://www.tomshardware.com/tech-industry/manufacturing/chinese-province-sets-up-dollar15-billion-chip-fund-to-boost-local-semiconductor-industry?"/>
    <hyperlink ref="L78" r:id="rId17" display="https://www.tomshardware.com/tech-industry/manufacturing/chinese-province-sets-up-dollar15-billion-chip-fund-to-boost-local-semiconductor-industry?"/>
    <hyperlink ref="L80" r:id="rId18" display="https://startup.aliyun.com/info/1092847.html?"/>
    <hyperlink ref="L81" r:id="rId19" display="https://startup.aliyun.com/info/1092847.html?"/>
    <hyperlink ref="L82" r:id="rId20" display="https://startup.aliyun.com/info/1092847.html?"/>
    <hyperlink ref="L83" r:id="rId21" display="https://www.cls.cn/detail/1797798?"/>
    <hyperlink ref="L84" r:id="rId22" display="https://www.cls.cn/detail/1797798?"/>
    <hyperlink ref="L87" r:id="rId23" display="https://www.hoganlovells.com/en/publications/japans-new-chip-equipment-export-rules-take-effect"/>
    <hyperlink ref="L98" r:id="rId24" display="https://globaltradealert.org/state-act/62404-republic-of-korea-government-publishes-national-strategy-for-artificial-intelligence?"/>
    <hyperlink ref="L100" r:id="rId25" display="https://www5.cao.go.jp/keizai1/keizaitaisaku/2021/20211119_economic_measures_all.pdf; https://www5.cao.go.jp/keizai1/keizaitaisaku/2021/20211119_economic_measures_all.pdf"/>
    <hyperlink ref="L102" r:id="rId26" display="https://www.mk.co.kr/en/economy/11493849; https://www.chosun.com/english/market-money-en/2025/12/11/25QXCJ2Q4NCINOC5EXP6SR3QYQ/"/>
    <hyperlink ref="L106" r:id="rId27" display="https://www.korea.net/Government/Briefing-Room/Press-Releases/view?articleId=8026;https://outlook.stpi.niar.org.tw/index/news/4b11410096d362580196e5fec2d535c1?"/>
    <hyperlink ref="L108" r:id="rId28" display="https://www.motir.go.kr/kor/article/ATCL3c536e4ec/79798/view"/>
    <hyperlink ref="L109" r:id="rId29" display="https://www.motir.go.kr/kor/article/ATCL3c536e4ec/79798/view"/>
    <hyperlink ref="L110" r:id="rId30" display="https://www.reuters.com/world/asia-pacific/south-koreas-lee-wants-military-airbase-relocated-by-mid-2028-chip-cluster-2026-08-10/"/>
    <hyperlink ref="L111" r:id="rId31" display="https://digital-strategy.ec.europa.eu/en/policies/chips-act-2"/>
    <hyperlink ref="L112" r:id="rId32" display="https://www.edb.gov.sg/en/business-insights/insights/budget-2026-singapore-commits-s800-million-to-semiconductor-research-and-development-to-deepen-high-impact-tech-capabilities.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10"/>
  <sheetViews>
    <sheetView showFormulas="false" showGridLines="false" showRowColHeaders="true" showZeros="true" rightToLeft="false" tabSelected="true" showOutlineSymbols="true" defaultGridColor="true" view="normal" topLeftCell="A296" colorId="64" zoomScale="84" zoomScaleNormal="84" zoomScalePageLayoutView="100" workbookViewId="0">
      <selection pane="topLeft" activeCell="A310" activeCellId="0" sqref="A310"/>
    </sheetView>
  </sheetViews>
  <sheetFormatPr defaultColWidth="10.62890625" defaultRowHeight="39.75" zeroHeight="false" outlineLevelRow="0" outlineLevelCol="0"/>
  <cols>
    <col collapsed="false" customWidth="true" hidden="false" outlineLevel="0" max="1" min="1" style="0" width="30"/>
    <col collapsed="false" customWidth="true" hidden="false" outlineLevel="0" max="2" min="2" style="0" width="13.88"/>
    <col collapsed="false" customWidth="true" hidden="false" outlineLevel="0" max="3" min="3" style="0" width="49.63"/>
    <col collapsed="false" customWidth="true" hidden="false" outlineLevel="0" max="4" min="4" style="0" width="13.88"/>
    <col collapsed="false" customWidth="true" hidden="false" outlineLevel="0" max="5" min="5" style="0" width="32.5"/>
    <col collapsed="false" customWidth="true" hidden="false" outlineLevel="0" max="6" min="6" style="0" width="19.88"/>
    <col collapsed="false" customWidth="true" hidden="false" outlineLevel="0" max="8" min="7" style="0" width="20.88"/>
    <col collapsed="false" customWidth="true" hidden="false" outlineLevel="0" max="10" min="10" style="0" width="14.5"/>
    <col collapsed="false" customWidth="true" hidden="false" outlineLevel="0" max="11" min="11" style="0" width="25.5"/>
    <col collapsed="false" customWidth="true" hidden="false" outlineLevel="0" max="12" min="12" style="0" width="42.5"/>
    <col collapsed="false" customWidth="true" hidden="false" outlineLevel="0" max="13" min="13" style="0" width="32.63"/>
    <col collapsed="false" customWidth="true" hidden="false" outlineLevel="0" max="14" min="14" style="0" width="91.12"/>
  </cols>
  <sheetData>
    <row r="1" customFormat="false" ht="39.75" hidden="false" customHeight="true" outlineLevel="0" collapsed="false">
      <c r="A1" s="2" t="s">
        <v>0</v>
      </c>
      <c r="B1" s="2" t="s">
        <v>1</v>
      </c>
      <c r="C1" s="2" t="s">
        <v>2</v>
      </c>
      <c r="D1" s="2" t="s">
        <v>3</v>
      </c>
      <c r="E1" s="2" t="s">
        <v>579</v>
      </c>
      <c r="F1" s="2" t="s">
        <v>580</v>
      </c>
      <c r="G1" s="2" t="s">
        <v>4</v>
      </c>
      <c r="H1" s="2" t="s">
        <v>5</v>
      </c>
      <c r="I1" s="2" t="s">
        <v>581</v>
      </c>
      <c r="J1" s="2" t="s">
        <v>7</v>
      </c>
      <c r="K1" s="2" t="s">
        <v>8</v>
      </c>
      <c r="L1" s="2" t="s">
        <v>9</v>
      </c>
      <c r="M1" s="2" t="s">
        <v>10</v>
      </c>
      <c r="N1" s="2" t="s">
        <v>11</v>
      </c>
      <c r="O1" s="8" t="s">
        <v>12</v>
      </c>
      <c r="P1" s="8" t="s">
        <v>582</v>
      </c>
      <c r="Q1" s="2" t="s">
        <v>15</v>
      </c>
    </row>
    <row r="2" customFormat="false" ht="39.75" hidden="false" customHeight="true" outlineLevel="0" collapsed="false">
      <c r="A2" s="4" t="s">
        <v>191</v>
      </c>
      <c r="B2" s="4" t="n">
        <v>25</v>
      </c>
      <c r="C2" s="4" t="s">
        <v>17</v>
      </c>
      <c r="D2" s="4" t="s">
        <v>17</v>
      </c>
      <c r="E2" s="4" t="s">
        <v>583</v>
      </c>
      <c r="F2" s="4" t="n">
        <v>1</v>
      </c>
      <c r="G2" s="4" t="n">
        <v>2023</v>
      </c>
      <c r="H2" s="4" t="s">
        <v>175</v>
      </c>
      <c r="I2" s="4" t="s">
        <v>584</v>
      </c>
      <c r="J2" s="4" t="s">
        <v>66</v>
      </c>
      <c r="K2" s="4" t="s">
        <v>585</v>
      </c>
      <c r="L2" s="4" t="s">
        <v>25</v>
      </c>
      <c r="M2" s="4" t="s">
        <v>586</v>
      </c>
      <c r="N2" s="4" t="s">
        <v>587</v>
      </c>
      <c r="O2" s="8" t="n">
        <v>10000</v>
      </c>
      <c r="P2" s="8" t="n">
        <v>11700</v>
      </c>
      <c r="Q2" s="8" t="s">
        <v>25</v>
      </c>
    </row>
    <row r="3" customFormat="false" ht="39.75" hidden="false" customHeight="true" outlineLevel="0" collapsed="false">
      <c r="A3" s="4" t="s">
        <v>191</v>
      </c>
      <c r="B3" s="4" t="n">
        <v>25</v>
      </c>
      <c r="C3" s="4" t="s">
        <v>17</v>
      </c>
      <c r="D3" s="4" t="s">
        <v>17</v>
      </c>
      <c r="E3" s="4" t="s">
        <v>588</v>
      </c>
      <c r="F3" s="4" t="n">
        <v>2</v>
      </c>
      <c r="G3" s="4" t="n">
        <v>2023</v>
      </c>
      <c r="H3" s="4" t="s">
        <v>18</v>
      </c>
      <c r="I3" s="4" t="s">
        <v>584</v>
      </c>
      <c r="J3" s="4" t="s">
        <v>66</v>
      </c>
      <c r="K3" s="4" t="s">
        <v>589</v>
      </c>
      <c r="L3" s="4" t="s">
        <v>25</v>
      </c>
      <c r="M3" s="4" t="s">
        <v>590</v>
      </c>
      <c r="N3" s="4" t="s">
        <v>591</v>
      </c>
      <c r="O3" s="8" t="n">
        <v>5000</v>
      </c>
      <c r="P3" s="8" t="n">
        <v>5850</v>
      </c>
      <c r="Q3" s="8" t="s">
        <v>25</v>
      </c>
    </row>
    <row r="4" customFormat="false" ht="39.75" hidden="false" customHeight="true" outlineLevel="0" collapsed="false">
      <c r="A4" s="4" t="s">
        <v>191</v>
      </c>
      <c r="B4" s="4" t="n">
        <v>25</v>
      </c>
      <c r="C4" s="4" t="s">
        <v>17</v>
      </c>
      <c r="D4" s="4" t="s">
        <v>17</v>
      </c>
      <c r="E4" s="4" t="s">
        <v>592</v>
      </c>
      <c r="F4" s="4" t="n">
        <v>3</v>
      </c>
      <c r="G4" s="4" t="n">
        <v>2024</v>
      </c>
      <c r="H4" s="4" t="s">
        <v>593</v>
      </c>
      <c r="I4" s="4" t="s">
        <v>594</v>
      </c>
      <c r="J4" s="4" t="s">
        <v>66</v>
      </c>
      <c r="K4" s="4" t="s">
        <v>595</v>
      </c>
      <c r="L4" s="4" t="s">
        <v>25</v>
      </c>
      <c r="M4" s="4" t="s">
        <v>596</v>
      </c>
      <c r="N4" s="4" t="s">
        <v>597</v>
      </c>
      <c r="O4" s="8" t="n">
        <v>2000</v>
      </c>
      <c r="P4" s="8" t="n">
        <v>2340</v>
      </c>
      <c r="Q4" s="8" t="s">
        <v>25</v>
      </c>
    </row>
    <row r="5" customFormat="false" ht="39.75" hidden="false" customHeight="true" outlineLevel="0" collapsed="false">
      <c r="A5" s="4" t="s">
        <v>208</v>
      </c>
      <c r="B5" s="4" t="n">
        <v>28</v>
      </c>
      <c r="C5" s="4" t="s">
        <v>17</v>
      </c>
      <c r="D5" s="4" t="s">
        <v>17</v>
      </c>
      <c r="E5" s="4" t="s">
        <v>598</v>
      </c>
      <c r="F5" s="4" t="n">
        <v>1</v>
      </c>
      <c r="G5" s="4" t="n">
        <v>2023</v>
      </c>
      <c r="H5" s="4" t="s">
        <v>65</v>
      </c>
      <c r="I5" s="4" t="s">
        <v>209</v>
      </c>
      <c r="J5" s="4" t="s">
        <v>66</v>
      </c>
      <c r="K5" s="4" t="s">
        <v>599</v>
      </c>
      <c r="L5" s="4" t="s">
        <v>25</v>
      </c>
      <c r="M5" s="4" t="s">
        <v>600</v>
      </c>
      <c r="N5" s="4" t="s">
        <v>601</v>
      </c>
      <c r="O5" s="8" t="n">
        <v>2900</v>
      </c>
      <c r="P5" s="8" t="n">
        <v>3393</v>
      </c>
      <c r="Q5" s="8" t="s">
        <v>25</v>
      </c>
    </row>
    <row r="6" customFormat="false" ht="39.75" hidden="false" customHeight="true" outlineLevel="0" collapsed="false">
      <c r="A6" s="9" t="s">
        <v>138</v>
      </c>
      <c r="B6" s="9" t="n">
        <v>15</v>
      </c>
      <c r="C6" s="9" t="s">
        <v>144</v>
      </c>
      <c r="D6" s="9" t="s">
        <v>28</v>
      </c>
      <c r="E6" s="4" t="s">
        <v>602</v>
      </c>
      <c r="F6" s="4" t="n">
        <v>1</v>
      </c>
      <c r="G6" s="4" t="n">
        <v>2021</v>
      </c>
      <c r="H6" s="4" t="s">
        <v>603</v>
      </c>
      <c r="I6" s="4" t="s">
        <v>128</v>
      </c>
      <c r="J6" s="4" t="s">
        <v>66</v>
      </c>
      <c r="K6" s="27" t="s">
        <v>604</v>
      </c>
      <c r="L6" s="27" t="s">
        <v>25</v>
      </c>
      <c r="M6" s="4" t="s">
        <v>605</v>
      </c>
      <c r="N6" s="4" t="s">
        <v>606</v>
      </c>
      <c r="O6" s="8" t="n">
        <v>3200</v>
      </c>
      <c r="P6" s="8" t="n">
        <v>3200</v>
      </c>
      <c r="Q6" s="8" t="s">
        <v>25</v>
      </c>
    </row>
    <row r="7" customFormat="false" ht="39.75" hidden="false" customHeight="true" outlineLevel="0" collapsed="false">
      <c r="A7" s="9" t="s">
        <v>138</v>
      </c>
      <c r="B7" s="9" t="n">
        <v>15</v>
      </c>
      <c r="C7" s="9" t="s">
        <v>144</v>
      </c>
      <c r="D7" s="9" t="s">
        <v>28</v>
      </c>
      <c r="E7" s="4" t="s">
        <v>607</v>
      </c>
      <c r="F7" s="4" t="n">
        <v>2</v>
      </c>
      <c r="G7" s="4" t="n">
        <v>2024</v>
      </c>
      <c r="H7" s="4" t="s">
        <v>528</v>
      </c>
      <c r="I7" s="4" t="s">
        <v>128</v>
      </c>
      <c r="J7" s="4" t="s">
        <v>66</v>
      </c>
      <c r="K7" s="27" t="s">
        <v>608</v>
      </c>
      <c r="L7" s="27" t="s">
        <v>25</v>
      </c>
      <c r="M7" s="4" t="s">
        <v>609</v>
      </c>
      <c r="N7" s="4" t="s">
        <v>610</v>
      </c>
      <c r="O7" s="8" t="n">
        <v>4990</v>
      </c>
      <c r="P7" s="8" t="n">
        <v>4990</v>
      </c>
      <c r="Q7" s="8" t="s">
        <v>25</v>
      </c>
    </row>
    <row r="8" customFormat="false" ht="39.75" hidden="false" customHeight="true" outlineLevel="0" collapsed="false">
      <c r="A8" s="9" t="s">
        <v>138</v>
      </c>
      <c r="B8" s="9" t="n">
        <v>15</v>
      </c>
      <c r="C8" s="9" t="s">
        <v>144</v>
      </c>
      <c r="D8" s="9" t="s">
        <v>28</v>
      </c>
      <c r="E8" s="4" t="s">
        <v>611</v>
      </c>
      <c r="F8" s="4" t="n">
        <v>3</v>
      </c>
      <c r="G8" s="4" t="n">
        <v>2024</v>
      </c>
      <c r="H8" s="4" t="s">
        <v>528</v>
      </c>
      <c r="I8" s="4" t="s">
        <v>128</v>
      </c>
      <c r="J8" s="4" t="s">
        <v>66</v>
      </c>
      <c r="K8" s="27" t="s">
        <v>612</v>
      </c>
      <c r="L8" s="27" t="s">
        <v>227</v>
      </c>
      <c r="M8" s="4" t="s">
        <v>613</v>
      </c>
      <c r="N8" s="28" t="s">
        <v>614</v>
      </c>
      <c r="O8" s="8" t="n">
        <v>3630</v>
      </c>
      <c r="P8" s="8" t="n">
        <v>3630</v>
      </c>
      <c r="Q8" s="8" t="s">
        <v>119</v>
      </c>
    </row>
    <row r="9" customFormat="false" ht="39.75" hidden="false" customHeight="true" outlineLevel="0" collapsed="false">
      <c r="A9" s="9" t="s">
        <v>138</v>
      </c>
      <c r="B9" s="9" t="n">
        <v>15</v>
      </c>
      <c r="C9" s="9" t="s">
        <v>153</v>
      </c>
      <c r="D9" s="9" t="s">
        <v>90</v>
      </c>
      <c r="E9" s="4" t="s">
        <v>615</v>
      </c>
      <c r="F9" s="4" t="n">
        <v>1</v>
      </c>
      <c r="G9" s="4" t="n">
        <v>2022</v>
      </c>
      <c r="H9" s="4" t="s">
        <v>616</v>
      </c>
      <c r="I9" s="4" t="s">
        <v>128</v>
      </c>
      <c r="J9" s="4" t="s">
        <v>617</v>
      </c>
      <c r="K9" s="27" t="s">
        <v>618</v>
      </c>
      <c r="L9" s="27" t="s">
        <v>619</v>
      </c>
      <c r="M9" s="4" t="s">
        <v>620</v>
      </c>
      <c r="N9" s="4" t="s">
        <v>621</v>
      </c>
      <c r="O9" s="8" t="n">
        <v>802000</v>
      </c>
      <c r="P9" s="8" t="n">
        <v>5052.6</v>
      </c>
      <c r="Q9" s="8" t="s">
        <v>44</v>
      </c>
    </row>
    <row r="10" customFormat="false" ht="39.75" hidden="false" customHeight="true" outlineLevel="0" collapsed="false">
      <c r="A10" s="4" t="s">
        <v>327</v>
      </c>
      <c r="B10" s="4" t="n">
        <v>41</v>
      </c>
      <c r="C10" s="4" t="s">
        <v>17</v>
      </c>
      <c r="D10" s="4" t="s">
        <v>17</v>
      </c>
      <c r="E10" s="4" t="s">
        <v>622</v>
      </c>
      <c r="F10" s="4" t="n">
        <v>1</v>
      </c>
      <c r="G10" s="4" t="n">
        <v>2025</v>
      </c>
      <c r="H10" s="4" t="s">
        <v>284</v>
      </c>
      <c r="I10" s="4" t="s">
        <v>278</v>
      </c>
      <c r="J10" s="4" t="s">
        <v>535</v>
      </c>
      <c r="K10" s="27" t="s">
        <v>623</v>
      </c>
      <c r="L10" s="27" t="s">
        <v>44</v>
      </c>
      <c r="M10" s="4" t="s">
        <v>624</v>
      </c>
      <c r="N10" s="28" t="s">
        <v>625</v>
      </c>
      <c r="O10" s="8" t="n">
        <v>250</v>
      </c>
      <c r="P10" s="8" t="n">
        <v>62.5</v>
      </c>
      <c r="Q10" s="8" t="s">
        <v>44</v>
      </c>
    </row>
    <row r="11" customFormat="false" ht="39.75" hidden="false" customHeight="true" outlineLevel="0" collapsed="false">
      <c r="A11" s="4" t="s">
        <v>16</v>
      </c>
      <c r="B11" s="4" t="n">
        <v>1</v>
      </c>
      <c r="C11" s="4" t="s">
        <v>389</v>
      </c>
      <c r="D11" s="4" t="s">
        <v>96</v>
      </c>
      <c r="E11" s="4" t="s">
        <v>626</v>
      </c>
      <c r="F11" s="4" t="n">
        <v>1</v>
      </c>
      <c r="G11" s="4" t="n">
        <v>2024</v>
      </c>
      <c r="H11" s="4" t="s">
        <v>627</v>
      </c>
      <c r="I11" s="4" t="s">
        <v>19</v>
      </c>
      <c r="J11" s="4" t="s">
        <v>66</v>
      </c>
      <c r="K11" s="27" t="s">
        <v>628</v>
      </c>
      <c r="L11" s="27" t="s">
        <v>629</v>
      </c>
      <c r="M11" s="4" t="s">
        <v>630</v>
      </c>
      <c r="N11" s="4" t="s">
        <v>631</v>
      </c>
      <c r="O11" s="8" t="n">
        <v>825</v>
      </c>
      <c r="P11" s="8" t="n">
        <v>825</v>
      </c>
      <c r="Q11" s="8" t="s">
        <v>38</v>
      </c>
    </row>
    <row r="12" customFormat="false" ht="39.75" hidden="false" customHeight="true" outlineLevel="0" collapsed="false">
      <c r="A12" s="4" t="s">
        <v>16</v>
      </c>
      <c r="B12" s="4" t="n">
        <v>1</v>
      </c>
      <c r="C12" s="4" t="s">
        <v>389</v>
      </c>
      <c r="D12" s="4" t="s">
        <v>96</v>
      </c>
      <c r="E12" s="4" t="s">
        <v>632</v>
      </c>
      <c r="F12" s="4" t="n">
        <v>2</v>
      </c>
      <c r="G12" s="4" t="n">
        <v>2024</v>
      </c>
      <c r="H12" s="4" t="s">
        <v>528</v>
      </c>
      <c r="I12" s="4" t="s">
        <v>19</v>
      </c>
      <c r="J12" s="4" t="s">
        <v>66</v>
      </c>
      <c r="K12" s="27" t="s">
        <v>390</v>
      </c>
      <c r="L12" s="27" t="s">
        <v>633</v>
      </c>
      <c r="M12" s="4" t="s">
        <v>634</v>
      </c>
      <c r="N12" s="28" t="s">
        <v>635</v>
      </c>
      <c r="O12" s="8" t="n">
        <v>6300</v>
      </c>
      <c r="P12" s="8" t="n">
        <v>6300</v>
      </c>
      <c r="Q12" s="8" t="s">
        <v>119</v>
      </c>
    </row>
    <row r="13" customFormat="false" ht="39.75" hidden="false" customHeight="true" outlineLevel="0" collapsed="false">
      <c r="A13" s="4" t="s">
        <v>16</v>
      </c>
      <c r="B13" s="4" t="n">
        <v>1</v>
      </c>
      <c r="C13" s="4" t="s">
        <v>384</v>
      </c>
      <c r="D13" s="4" t="s">
        <v>90</v>
      </c>
      <c r="E13" s="4" t="s">
        <v>636</v>
      </c>
      <c r="F13" s="4" t="n">
        <v>1</v>
      </c>
      <c r="G13" s="4" t="n">
        <v>2024</v>
      </c>
      <c r="H13" s="4" t="s">
        <v>627</v>
      </c>
      <c r="I13" s="4" t="s">
        <v>19</v>
      </c>
      <c r="J13" s="4" t="s">
        <v>66</v>
      </c>
      <c r="K13" s="27" t="s">
        <v>637</v>
      </c>
      <c r="L13" s="27" t="s">
        <v>386</v>
      </c>
      <c r="M13" s="4" t="s">
        <v>638</v>
      </c>
      <c r="N13" s="4" t="s">
        <v>639</v>
      </c>
      <c r="O13" s="8" t="n">
        <v>1100</v>
      </c>
      <c r="P13" s="8" t="n">
        <v>1100</v>
      </c>
      <c r="Q13" s="8" t="s">
        <v>286</v>
      </c>
    </row>
    <row r="14" customFormat="false" ht="39.75" hidden="false" customHeight="true" outlineLevel="0" collapsed="false">
      <c r="A14" s="4" t="s">
        <v>16</v>
      </c>
      <c r="B14" s="4" t="n">
        <v>1</v>
      </c>
      <c r="C14" s="4" t="s">
        <v>384</v>
      </c>
      <c r="D14" s="4" t="s">
        <v>90</v>
      </c>
      <c r="E14" s="4" t="s">
        <v>640</v>
      </c>
      <c r="F14" s="4" t="n">
        <v>2</v>
      </c>
      <c r="G14" s="4" t="n">
        <v>2024</v>
      </c>
      <c r="H14" s="4" t="s">
        <v>289</v>
      </c>
      <c r="I14" s="4" t="s">
        <v>19</v>
      </c>
      <c r="J14" s="4" t="s">
        <v>535</v>
      </c>
      <c r="K14" s="27" t="s">
        <v>641</v>
      </c>
      <c r="L14" s="27" t="s">
        <v>119</v>
      </c>
      <c r="M14" s="4" t="s">
        <v>642</v>
      </c>
      <c r="N14" s="4" t="s">
        <v>643</v>
      </c>
      <c r="O14" s="8" t="n">
        <v>300</v>
      </c>
      <c r="P14" s="8" t="n">
        <v>300</v>
      </c>
      <c r="Q14" s="8" t="s">
        <v>119</v>
      </c>
    </row>
    <row r="15" customFormat="false" ht="39.75" hidden="false" customHeight="true" outlineLevel="0" collapsed="false">
      <c r="A15" s="4" t="s">
        <v>16</v>
      </c>
      <c r="B15" s="4" t="n">
        <v>1</v>
      </c>
      <c r="C15" s="4" t="str">
        <f aca="false">'Project Sheet'!C75</f>
        <v>CHIPS Manufacturing USA Institute</v>
      </c>
      <c r="D15" s="4" t="str">
        <f aca="false">'Project Sheet'!D75</f>
        <v>5</v>
      </c>
      <c r="E15" s="4" t="s">
        <v>644</v>
      </c>
      <c r="F15" s="4" t="n">
        <v>1</v>
      </c>
      <c r="G15" s="4" t="n">
        <v>2024</v>
      </c>
      <c r="H15" s="4" t="s">
        <v>645</v>
      </c>
      <c r="I15" s="4" t="s">
        <v>19</v>
      </c>
      <c r="J15" s="4" t="s">
        <v>535</v>
      </c>
      <c r="K15" s="27" t="s">
        <v>398</v>
      </c>
      <c r="L15" s="27" t="s">
        <v>646</v>
      </c>
      <c r="M15" s="4" t="s">
        <v>647</v>
      </c>
      <c r="N15" s="28" t="s">
        <v>648</v>
      </c>
      <c r="O15" s="8" t="n">
        <v>285</v>
      </c>
      <c r="P15" s="8" t="n">
        <v>285</v>
      </c>
      <c r="Q15" s="8" t="s">
        <v>286</v>
      </c>
    </row>
    <row r="16" customFormat="false" ht="39.75" hidden="false" customHeight="true" outlineLevel="0" collapsed="false">
      <c r="A16" s="9" t="s">
        <v>16</v>
      </c>
      <c r="B16" s="9" t="n">
        <v>1</v>
      </c>
      <c r="C16" s="9" t="s">
        <v>446</v>
      </c>
      <c r="D16" s="9" t="s">
        <v>307</v>
      </c>
      <c r="E16" s="4" t="s">
        <v>649</v>
      </c>
      <c r="F16" s="4" t="n">
        <v>1</v>
      </c>
      <c r="G16" s="9" t="n">
        <v>2024</v>
      </c>
      <c r="H16" s="4" t="s">
        <v>650</v>
      </c>
      <c r="I16" s="4" t="s">
        <v>19</v>
      </c>
      <c r="J16" s="4" t="s">
        <v>66</v>
      </c>
      <c r="K16" s="27" t="s">
        <v>651</v>
      </c>
      <c r="L16" s="27" t="s">
        <v>25</v>
      </c>
      <c r="M16" s="4" t="s">
        <v>652</v>
      </c>
      <c r="N16" s="4" t="s">
        <v>653</v>
      </c>
      <c r="O16" s="8" t="n">
        <v>1450</v>
      </c>
      <c r="P16" s="8" t="n">
        <v>1450</v>
      </c>
      <c r="Q16" s="8" t="s">
        <v>25</v>
      </c>
    </row>
    <row r="17" customFormat="false" ht="39.75" hidden="false" customHeight="true" outlineLevel="0" collapsed="false">
      <c r="A17" s="4" t="s">
        <v>16</v>
      </c>
      <c r="B17" s="4" t="n">
        <v>1</v>
      </c>
      <c r="C17" s="4" t="s">
        <v>446</v>
      </c>
      <c r="D17" s="4" t="s">
        <v>307</v>
      </c>
      <c r="E17" s="4" t="s">
        <v>654</v>
      </c>
      <c r="F17" s="4" t="n">
        <v>2</v>
      </c>
      <c r="G17" s="4" t="n">
        <v>2024</v>
      </c>
      <c r="H17" s="4" t="s">
        <v>132</v>
      </c>
      <c r="I17" s="4" t="s">
        <v>19</v>
      </c>
      <c r="J17" s="4" t="s">
        <v>66</v>
      </c>
      <c r="K17" s="4" t="s">
        <v>655</v>
      </c>
      <c r="L17" s="4" t="s">
        <v>25</v>
      </c>
      <c r="M17" s="4" t="s">
        <v>656</v>
      </c>
      <c r="N17" s="4" t="s">
        <v>653</v>
      </c>
      <c r="O17" s="8" t="n">
        <v>1500</v>
      </c>
      <c r="P17" s="8" t="n">
        <v>1500</v>
      </c>
      <c r="Q17" s="8" t="s">
        <v>25</v>
      </c>
    </row>
    <row r="18" customFormat="false" ht="39.75" hidden="false" customHeight="true" outlineLevel="0" collapsed="false">
      <c r="A18" s="4" t="s">
        <v>16</v>
      </c>
      <c r="B18" s="4" t="n">
        <v>1</v>
      </c>
      <c r="C18" s="4" t="s">
        <v>446</v>
      </c>
      <c r="D18" s="4" t="s">
        <v>307</v>
      </c>
      <c r="E18" s="4" t="s">
        <v>657</v>
      </c>
      <c r="F18" s="4" t="n">
        <v>3</v>
      </c>
      <c r="G18" s="4" t="n">
        <v>2024</v>
      </c>
      <c r="H18" s="4" t="s">
        <v>650</v>
      </c>
      <c r="I18" s="4" t="s">
        <v>19</v>
      </c>
      <c r="J18" s="4" t="s">
        <v>66</v>
      </c>
      <c r="K18" s="4" t="s">
        <v>658</v>
      </c>
      <c r="L18" s="4" t="s">
        <v>659</v>
      </c>
      <c r="M18" s="4" t="s">
        <v>660</v>
      </c>
      <c r="N18" s="4" t="s">
        <v>653</v>
      </c>
      <c r="O18" s="8" t="n">
        <v>93</v>
      </c>
      <c r="P18" s="8" t="n">
        <v>93</v>
      </c>
      <c r="Q18" s="8" t="s">
        <v>25</v>
      </c>
    </row>
    <row r="19" customFormat="false" ht="39.75" hidden="false" customHeight="true" outlineLevel="0" collapsed="false">
      <c r="A19" s="4" t="s">
        <v>16</v>
      </c>
      <c r="B19" s="4" t="n">
        <v>1</v>
      </c>
      <c r="C19" s="4" t="s">
        <v>446</v>
      </c>
      <c r="D19" s="4" t="s">
        <v>307</v>
      </c>
      <c r="E19" s="4" t="s">
        <v>661</v>
      </c>
      <c r="F19" s="4" t="n">
        <v>4</v>
      </c>
      <c r="G19" s="4" t="n">
        <v>2024</v>
      </c>
      <c r="H19" s="4" t="s">
        <v>662</v>
      </c>
      <c r="I19" s="4" t="s">
        <v>19</v>
      </c>
      <c r="J19" s="4" t="s">
        <v>66</v>
      </c>
      <c r="K19" s="4" t="s">
        <v>663</v>
      </c>
      <c r="L19" s="4" t="s">
        <v>38</v>
      </c>
      <c r="M19" s="4" t="s">
        <v>664</v>
      </c>
      <c r="N19" s="4" t="s">
        <v>653</v>
      </c>
      <c r="O19" s="8" t="n">
        <v>18</v>
      </c>
      <c r="P19" s="8" t="n">
        <v>18</v>
      </c>
      <c r="Q19" s="8" t="s">
        <v>38</v>
      </c>
    </row>
    <row r="20" customFormat="false" ht="39.75" hidden="false" customHeight="true" outlineLevel="0" collapsed="false">
      <c r="A20" s="4" t="s">
        <v>16</v>
      </c>
      <c r="B20" s="4" t="n">
        <v>1</v>
      </c>
      <c r="C20" s="4" t="s">
        <v>446</v>
      </c>
      <c r="D20" s="4" t="s">
        <v>307</v>
      </c>
      <c r="E20" s="4" t="s">
        <v>665</v>
      </c>
      <c r="F20" s="4" t="n">
        <v>5</v>
      </c>
      <c r="G20" s="4" t="n">
        <v>2024</v>
      </c>
      <c r="H20" s="4" t="s">
        <v>666</v>
      </c>
      <c r="I20" s="4" t="s">
        <v>19</v>
      </c>
      <c r="J20" s="4" t="s">
        <v>66</v>
      </c>
      <c r="K20" s="4" t="s">
        <v>667</v>
      </c>
      <c r="L20" s="4" t="s">
        <v>25</v>
      </c>
      <c r="M20" s="4" t="s">
        <v>668</v>
      </c>
      <c r="N20" s="4" t="s">
        <v>653</v>
      </c>
      <c r="O20" s="8" t="n">
        <v>125</v>
      </c>
      <c r="P20" s="8" t="n">
        <v>125</v>
      </c>
      <c r="Q20" s="8" t="s">
        <v>25</v>
      </c>
    </row>
    <row r="21" customFormat="false" ht="39.75" hidden="false" customHeight="true" outlineLevel="0" collapsed="false">
      <c r="A21" s="4" t="s">
        <v>16</v>
      </c>
      <c r="B21" s="4" t="n">
        <v>1</v>
      </c>
      <c r="C21" s="4" t="s">
        <v>446</v>
      </c>
      <c r="D21" s="4" t="s">
        <v>307</v>
      </c>
      <c r="E21" s="4" t="s">
        <v>669</v>
      </c>
      <c r="F21" s="4" t="n">
        <v>6</v>
      </c>
      <c r="G21" s="4" t="n">
        <v>2024</v>
      </c>
      <c r="H21" s="4" t="s">
        <v>666</v>
      </c>
      <c r="I21" s="4" t="s">
        <v>19</v>
      </c>
      <c r="J21" s="4" t="s">
        <v>66</v>
      </c>
      <c r="K21" s="4" t="s">
        <v>658</v>
      </c>
      <c r="L21" s="4" t="s">
        <v>659</v>
      </c>
      <c r="M21" s="4" t="s">
        <v>670</v>
      </c>
      <c r="N21" s="4" t="s">
        <v>653</v>
      </c>
      <c r="O21" s="8" t="n">
        <v>93</v>
      </c>
      <c r="P21" s="8" t="n">
        <v>93</v>
      </c>
      <c r="Q21" s="8" t="s">
        <v>25</v>
      </c>
    </row>
    <row r="22" customFormat="false" ht="39.75" hidden="false" customHeight="true" outlineLevel="0" collapsed="false">
      <c r="A22" s="4" t="s">
        <v>16</v>
      </c>
      <c r="B22" s="4" t="n">
        <v>1</v>
      </c>
      <c r="C22" s="4" t="s">
        <v>446</v>
      </c>
      <c r="D22" s="4" t="s">
        <v>307</v>
      </c>
      <c r="E22" s="4" t="s">
        <v>671</v>
      </c>
      <c r="F22" s="4" t="n">
        <v>7</v>
      </c>
      <c r="G22" s="4" t="n">
        <v>2024</v>
      </c>
      <c r="H22" s="4" t="s">
        <v>97</v>
      </c>
      <c r="I22" s="4" t="s">
        <v>19</v>
      </c>
      <c r="J22" s="4" t="s">
        <v>66</v>
      </c>
      <c r="K22" s="4" t="s">
        <v>672</v>
      </c>
      <c r="L22" s="4" t="s">
        <v>110</v>
      </c>
      <c r="M22" s="4" t="s">
        <v>673</v>
      </c>
      <c r="N22" s="4" t="s">
        <v>653</v>
      </c>
      <c r="O22" s="8" t="n">
        <v>32</v>
      </c>
      <c r="P22" s="8" t="n">
        <v>32</v>
      </c>
      <c r="Q22" s="8" t="s">
        <v>110</v>
      </c>
    </row>
    <row r="23" customFormat="false" ht="39.75" hidden="false" customHeight="true" outlineLevel="0" collapsed="false">
      <c r="A23" s="4" t="s">
        <v>16</v>
      </c>
      <c r="B23" s="4" t="n">
        <v>1</v>
      </c>
      <c r="C23" s="4" t="s">
        <v>446</v>
      </c>
      <c r="D23" s="4" t="s">
        <v>307</v>
      </c>
      <c r="E23" s="4" t="s">
        <v>674</v>
      </c>
      <c r="F23" s="4" t="n">
        <v>8</v>
      </c>
      <c r="G23" s="4" t="n">
        <v>2024</v>
      </c>
      <c r="H23" s="4" t="s">
        <v>675</v>
      </c>
      <c r="I23" s="4" t="s">
        <v>19</v>
      </c>
      <c r="J23" s="4" t="s">
        <v>66</v>
      </c>
      <c r="K23" s="4" t="s">
        <v>676</v>
      </c>
      <c r="L23" s="4" t="s">
        <v>25</v>
      </c>
      <c r="M23" s="4" t="s">
        <v>677</v>
      </c>
      <c r="N23" s="4" t="s">
        <v>653</v>
      </c>
      <c r="O23" s="8" t="n">
        <v>700</v>
      </c>
      <c r="P23" s="8" t="n">
        <v>700</v>
      </c>
      <c r="Q23" s="8" t="s">
        <v>25</v>
      </c>
    </row>
    <row r="24" customFormat="false" ht="39.75" hidden="false" customHeight="true" outlineLevel="0" collapsed="false">
      <c r="A24" s="4" t="s">
        <v>16</v>
      </c>
      <c r="B24" s="4" t="n">
        <v>1</v>
      </c>
      <c r="C24" s="4" t="s">
        <v>446</v>
      </c>
      <c r="D24" s="4" t="s">
        <v>307</v>
      </c>
      <c r="E24" s="4" t="s">
        <v>678</v>
      </c>
      <c r="F24" s="4" t="n">
        <v>9</v>
      </c>
      <c r="G24" s="4" t="n">
        <v>2024</v>
      </c>
      <c r="H24" s="4" t="s">
        <v>662</v>
      </c>
      <c r="I24" s="4" t="s">
        <v>19</v>
      </c>
      <c r="J24" s="4" t="s">
        <v>66</v>
      </c>
      <c r="K24" s="4" t="s">
        <v>679</v>
      </c>
      <c r="L24" s="4" t="s">
        <v>25</v>
      </c>
      <c r="M24" s="4" t="s">
        <v>680</v>
      </c>
      <c r="N24" s="4" t="s">
        <v>653</v>
      </c>
      <c r="O24" s="8" t="n">
        <v>900</v>
      </c>
      <c r="P24" s="8" t="n">
        <v>900</v>
      </c>
      <c r="Q24" s="8" t="s">
        <v>25</v>
      </c>
    </row>
    <row r="25" customFormat="false" ht="39.75" hidden="false" customHeight="true" outlineLevel="0" collapsed="false">
      <c r="A25" s="4" t="s">
        <v>16</v>
      </c>
      <c r="B25" s="4" t="n">
        <v>1</v>
      </c>
      <c r="C25" s="4" t="s">
        <v>446</v>
      </c>
      <c r="D25" s="4" t="s">
        <v>307</v>
      </c>
      <c r="E25" s="4" t="s">
        <v>681</v>
      </c>
      <c r="F25" s="4" t="n">
        <v>10</v>
      </c>
      <c r="G25" s="4" t="n">
        <v>2024</v>
      </c>
      <c r="H25" s="4" t="s">
        <v>675</v>
      </c>
      <c r="I25" s="4" t="s">
        <v>19</v>
      </c>
      <c r="J25" s="4" t="s">
        <v>66</v>
      </c>
      <c r="K25" s="4" t="s">
        <v>682</v>
      </c>
      <c r="L25" s="4" t="s">
        <v>25</v>
      </c>
      <c r="M25" s="4" t="s">
        <v>683</v>
      </c>
      <c r="N25" s="4" t="s">
        <v>653</v>
      </c>
      <c r="O25" s="8" t="n">
        <v>4745</v>
      </c>
      <c r="P25" s="8" t="n">
        <v>4745</v>
      </c>
      <c r="Q25" s="8" t="s">
        <v>25</v>
      </c>
    </row>
    <row r="26" customFormat="false" ht="39.75" hidden="false" customHeight="true" outlineLevel="0" collapsed="false">
      <c r="A26" s="4" t="s">
        <v>16</v>
      </c>
      <c r="B26" s="4" t="n">
        <v>1</v>
      </c>
      <c r="C26" s="4" t="s">
        <v>446</v>
      </c>
      <c r="D26" s="4" t="s">
        <v>307</v>
      </c>
      <c r="E26" s="4" t="s">
        <v>684</v>
      </c>
      <c r="F26" s="4" t="n">
        <v>11</v>
      </c>
      <c r="G26" s="4" t="n">
        <v>2024</v>
      </c>
      <c r="H26" s="4" t="s">
        <v>685</v>
      </c>
      <c r="I26" s="4" t="s">
        <v>19</v>
      </c>
      <c r="J26" s="4" t="s">
        <v>66</v>
      </c>
      <c r="K26" s="4" t="s">
        <v>686</v>
      </c>
      <c r="L26" s="4" t="s">
        <v>286</v>
      </c>
      <c r="M26" s="4" t="s">
        <v>687</v>
      </c>
      <c r="N26" s="4" t="s">
        <v>653</v>
      </c>
      <c r="O26" s="8" t="n">
        <v>958</v>
      </c>
      <c r="P26" s="8" t="n">
        <v>958</v>
      </c>
      <c r="Q26" s="8" t="s">
        <v>286</v>
      </c>
    </row>
    <row r="27" customFormat="false" ht="39.75" hidden="false" customHeight="true" outlineLevel="0" collapsed="false">
      <c r="A27" s="4" t="s">
        <v>16</v>
      </c>
      <c r="B27" s="4" t="n">
        <v>1</v>
      </c>
      <c r="C27" s="4" t="s">
        <v>446</v>
      </c>
      <c r="D27" s="4" t="s">
        <v>307</v>
      </c>
      <c r="E27" s="4" t="s">
        <v>688</v>
      </c>
      <c r="F27" s="4" t="n">
        <v>12</v>
      </c>
      <c r="G27" s="4" t="n">
        <v>2024</v>
      </c>
      <c r="H27" s="4" t="s">
        <v>273</v>
      </c>
      <c r="I27" s="4" t="s">
        <v>19</v>
      </c>
      <c r="J27" s="4" t="s">
        <v>66</v>
      </c>
      <c r="K27" s="4" t="s">
        <v>689</v>
      </c>
      <c r="L27" s="4" t="s">
        <v>25</v>
      </c>
      <c r="M27" s="4" t="s">
        <v>690</v>
      </c>
      <c r="N27" s="4" t="s">
        <v>653</v>
      </c>
      <c r="O27" s="8" t="n">
        <v>380</v>
      </c>
      <c r="P27" s="8" t="n">
        <v>380</v>
      </c>
      <c r="Q27" s="8" t="s">
        <v>25</v>
      </c>
    </row>
    <row r="28" customFormat="false" ht="39.75" hidden="false" customHeight="true" outlineLevel="0" collapsed="false">
      <c r="A28" s="4" t="s">
        <v>16</v>
      </c>
      <c r="B28" s="4" t="n">
        <v>1</v>
      </c>
      <c r="C28" s="4" t="s">
        <v>446</v>
      </c>
      <c r="D28" s="4" t="s">
        <v>307</v>
      </c>
      <c r="E28" s="4" t="s">
        <v>691</v>
      </c>
      <c r="F28" s="4" t="n">
        <v>13</v>
      </c>
      <c r="G28" s="4" t="n">
        <v>2024</v>
      </c>
      <c r="H28" s="4" t="s">
        <v>662</v>
      </c>
      <c r="I28" s="4" t="s">
        <v>19</v>
      </c>
      <c r="J28" s="4" t="s">
        <v>66</v>
      </c>
      <c r="K28" s="4" t="s">
        <v>692</v>
      </c>
      <c r="L28" s="4" t="s">
        <v>25</v>
      </c>
      <c r="M28" s="4" t="s">
        <v>693</v>
      </c>
      <c r="N28" s="4" t="s">
        <v>653</v>
      </c>
      <c r="O28" s="8" t="n">
        <v>20</v>
      </c>
      <c r="P28" s="8" t="n">
        <v>20</v>
      </c>
      <c r="Q28" s="8" t="s">
        <v>25</v>
      </c>
    </row>
    <row r="29" customFormat="false" ht="39.75" hidden="false" customHeight="true" outlineLevel="0" collapsed="false">
      <c r="A29" s="4" t="s">
        <v>16</v>
      </c>
      <c r="B29" s="4" t="n">
        <v>1</v>
      </c>
      <c r="C29" s="4" t="s">
        <v>446</v>
      </c>
      <c r="D29" s="4" t="s">
        <v>307</v>
      </c>
      <c r="E29" s="4" t="s">
        <v>694</v>
      </c>
      <c r="F29" s="4" t="n">
        <v>14</v>
      </c>
      <c r="G29" s="4" t="n">
        <v>2024</v>
      </c>
      <c r="H29" s="4" t="s">
        <v>650</v>
      </c>
      <c r="I29" s="4" t="s">
        <v>19</v>
      </c>
      <c r="J29" s="4" t="s">
        <v>66</v>
      </c>
      <c r="K29" s="4" t="s">
        <v>695</v>
      </c>
      <c r="L29" s="4" t="s">
        <v>25</v>
      </c>
      <c r="M29" s="4" t="s">
        <v>696</v>
      </c>
      <c r="N29" s="4" t="s">
        <v>653</v>
      </c>
      <c r="O29" s="8" t="n">
        <v>3050</v>
      </c>
      <c r="P29" s="8" t="n">
        <v>3050</v>
      </c>
      <c r="Q29" s="8" t="s">
        <v>25</v>
      </c>
    </row>
    <row r="30" customFormat="false" ht="39.75" hidden="false" customHeight="true" outlineLevel="0" collapsed="false">
      <c r="A30" s="4" t="s">
        <v>16</v>
      </c>
      <c r="B30" s="4" t="n">
        <v>1</v>
      </c>
      <c r="C30" s="4" t="s">
        <v>446</v>
      </c>
      <c r="D30" s="4" t="s">
        <v>307</v>
      </c>
      <c r="E30" s="4" t="s">
        <v>697</v>
      </c>
      <c r="F30" s="4" t="n">
        <v>15</v>
      </c>
      <c r="G30" s="4" t="n">
        <v>2024</v>
      </c>
      <c r="H30" s="4" t="s">
        <v>685</v>
      </c>
      <c r="I30" s="4" t="s">
        <v>19</v>
      </c>
      <c r="J30" s="4" t="s">
        <v>66</v>
      </c>
      <c r="K30" s="4" t="s">
        <v>695</v>
      </c>
      <c r="L30" s="4" t="s">
        <v>25</v>
      </c>
      <c r="M30" s="4" t="s">
        <v>698</v>
      </c>
      <c r="N30" s="4" t="s">
        <v>653</v>
      </c>
      <c r="O30" s="8" t="n">
        <v>3050</v>
      </c>
      <c r="P30" s="8" t="n">
        <v>3050</v>
      </c>
      <c r="Q30" s="8" t="s">
        <v>25</v>
      </c>
    </row>
    <row r="31" customFormat="false" ht="39.75" hidden="false" customHeight="true" outlineLevel="0" collapsed="false">
      <c r="A31" s="4" t="s">
        <v>16</v>
      </c>
      <c r="B31" s="4" t="n">
        <v>1</v>
      </c>
      <c r="C31" s="4" t="s">
        <v>446</v>
      </c>
      <c r="D31" s="4" t="s">
        <v>307</v>
      </c>
      <c r="E31" s="4" t="s">
        <v>699</v>
      </c>
      <c r="F31" s="4" t="n">
        <v>16</v>
      </c>
      <c r="G31" s="4" t="n">
        <v>2024</v>
      </c>
      <c r="H31" s="4" t="s">
        <v>645</v>
      </c>
      <c r="I31" s="4" t="s">
        <v>19</v>
      </c>
      <c r="J31" s="4" t="s">
        <v>66</v>
      </c>
      <c r="K31" s="4" t="s">
        <v>700</v>
      </c>
      <c r="L31" s="4" t="s">
        <v>701</v>
      </c>
      <c r="M31" s="4" t="s">
        <v>702</v>
      </c>
      <c r="N31" s="4" t="s">
        <v>653</v>
      </c>
      <c r="O31" s="8" t="n">
        <v>75</v>
      </c>
      <c r="P31" s="8" t="n">
        <v>75</v>
      </c>
      <c r="Q31" s="8" t="s">
        <v>110</v>
      </c>
    </row>
    <row r="32" customFormat="false" ht="39.75" hidden="false" customHeight="true" outlineLevel="0" collapsed="false">
      <c r="A32" s="4" t="s">
        <v>16</v>
      </c>
      <c r="B32" s="4" t="n">
        <v>1</v>
      </c>
      <c r="C32" s="4" t="s">
        <v>446</v>
      </c>
      <c r="D32" s="4" t="s">
        <v>307</v>
      </c>
      <c r="E32" s="4" t="s">
        <v>703</v>
      </c>
      <c r="F32" s="4" t="n">
        <v>17</v>
      </c>
      <c r="G32" s="4" t="n">
        <v>2024</v>
      </c>
      <c r="H32" s="4" t="s">
        <v>662</v>
      </c>
      <c r="I32" s="4" t="s">
        <v>19</v>
      </c>
      <c r="J32" s="4" t="s">
        <v>66</v>
      </c>
      <c r="K32" s="4" t="s">
        <v>704</v>
      </c>
      <c r="L32" s="4" t="s">
        <v>110</v>
      </c>
      <c r="M32" s="4" t="s">
        <v>705</v>
      </c>
      <c r="N32" s="4" t="s">
        <v>653</v>
      </c>
      <c r="O32" s="8" t="n">
        <v>77</v>
      </c>
      <c r="P32" s="8" t="n">
        <v>77</v>
      </c>
      <c r="Q32" s="8" t="s">
        <v>110</v>
      </c>
    </row>
    <row r="33" customFormat="false" ht="39.75" hidden="false" customHeight="true" outlineLevel="0" collapsed="false">
      <c r="A33" s="4" t="s">
        <v>16</v>
      </c>
      <c r="B33" s="4" t="n">
        <v>1</v>
      </c>
      <c r="C33" s="4" t="s">
        <v>446</v>
      </c>
      <c r="D33" s="4" t="s">
        <v>307</v>
      </c>
      <c r="E33" s="4" t="s">
        <v>706</v>
      </c>
      <c r="F33" s="4" t="n">
        <v>18</v>
      </c>
      <c r="G33" s="4" t="n">
        <v>2024</v>
      </c>
      <c r="H33" s="4" t="s">
        <v>707</v>
      </c>
      <c r="I33" s="4" t="s">
        <v>19</v>
      </c>
      <c r="J33" s="4" t="s">
        <v>66</v>
      </c>
      <c r="K33" s="4" t="s">
        <v>708</v>
      </c>
      <c r="L33" s="4" t="s">
        <v>659</v>
      </c>
      <c r="M33" s="4" t="s">
        <v>709</v>
      </c>
      <c r="N33" s="4" t="s">
        <v>653</v>
      </c>
      <c r="O33" s="8" t="n">
        <v>500</v>
      </c>
      <c r="P33" s="8" t="n">
        <v>500</v>
      </c>
      <c r="Q33" s="8" t="s">
        <v>25</v>
      </c>
    </row>
    <row r="34" customFormat="false" ht="39.75" hidden="false" customHeight="true" outlineLevel="0" collapsed="false">
      <c r="A34" s="4" t="s">
        <v>16</v>
      </c>
      <c r="B34" s="4" t="n">
        <v>1</v>
      </c>
      <c r="C34" s="4" t="s">
        <v>446</v>
      </c>
      <c r="D34" s="4" t="s">
        <v>307</v>
      </c>
      <c r="E34" s="4" t="s">
        <v>710</v>
      </c>
      <c r="F34" s="4" t="n">
        <v>19</v>
      </c>
      <c r="G34" s="4" t="n">
        <v>2024</v>
      </c>
      <c r="H34" s="4" t="s">
        <v>132</v>
      </c>
      <c r="I34" s="4" t="s">
        <v>19</v>
      </c>
      <c r="J34" s="4" t="s">
        <v>66</v>
      </c>
      <c r="K34" s="4" t="s">
        <v>655</v>
      </c>
      <c r="L34" s="4" t="s">
        <v>25</v>
      </c>
      <c r="M34" s="4" t="s">
        <v>711</v>
      </c>
      <c r="N34" s="4" t="s">
        <v>653</v>
      </c>
      <c r="O34" s="8" t="n">
        <v>1500</v>
      </c>
      <c r="P34" s="8" t="n">
        <v>1500</v>
      </c>
      <c r="Q34" s="8" t="s">
        <v>25</v>
      </c>
    </row>
    <row r="35" customFormat="false" ht="39.75" hidden="false" customHeight="true" outlineLevel="0" collapsed="false">
      <c r="A35" s="4" t="s">
        <v>16</v>
      </c>
      <c r="B35" s="4" t="n">
        <v>1</v>
      </c>
      <c r="C35" s="4" t="s">
        <v>446</v>
      </c>
      <c r="D35" s="4" t="s">
        <v>307</v>
      </c>
      <c r="E35" s="4" t="s">
        <v>712</v>
      </c>
      <c r="F35" s="4" t="n">
        <v>20</v>
      </c>
      <c r="G35" s="4" t="n">
        <v>2024</v>
      </c>
      <c r="H35" s="4" t="s">
        <v>662</v>
      </c>
      <c r="I35" s="4" t="s">
        <v>19</v>
      </c>
      <c r="J35" s="4" t="s">
        <v>66</v>
      </c>
      <c r="K35" s="4" t="s">
        <v>713</v>
      </c>
      <c r="L35" s="4" t="s">
        <v>25</v>
      </c>
      <c r="M35" s="4" t="s">
        <v>714</v>
      </c>
      <c r="N35" s="4" t="s">
        <v>653</v>
      </c>
      <c r="O35" s="8" t="n">
        <v>3940</v>
      </c>
      <c r="P35" s="8" t="n">
        <v>3940</v>
      </c>
      <c r="Q35" s="8" t="s">
        <v>25</v>
      </c>
    </row>
    <row r="36" customFormat="false" ht="39.75" hidden="false" customHeight="true" outlineLevel="0" collapsed="false">
      <c r="A36" s="4" t="s">
        <v>16</v>
      </c>
      <c r="B36" s="4" t="n">
        <v>1</v>
      </c>
      <c r="C36" s="4" t="s">
        <v>446</v>
      </c>
      <c r="D36" s="4" t="s">
        <v>307</v>
      </c>
      <c r="E36" s="4" t="s">
        <v>715</v>
      </c>
      <c r="F36" s="4" t="n">
        <v>21</v>
      </c>
      <c r="G36" s="4" t="n">
        <v>2024</v>
      </c>
      <c r="H36" s="4" t="s">
        <v>662</v>
      </c>
      <c r="I36" s="4" t="s">
        <v>19</v>
      </c>
      <c r="J36" s="4" t="s">
        <v>66</v>
      </c>
      <c r="K36" s="4" t="s">
        <v>716</v>
      </c>
      <c r="L36" s="4" t="s">
        <v>227</v>
      </c>
      <c r="M36" s="4" t="s">
        <v>717</v>
      </c>
      <c r="N36" s="4" t="s">
        <v>653</v>
      </c>
      <c r="O36" s="8" t="n">
        <v>1860</v>
      </c>
      <c r="P36" s="8" t="n">
        <v>1860</v>
      </c>
      <c r="Q36" s="8" t="s">
        <v>119</v>
      </c>
    </row>
    <row r="37" customFormat="false" ht="39.75" hidden="false" customHeight="true" outlineLevel="0" collapsed="false">
      <c r="A37" s="4" t="s">
        <v>16</v>
      </c>
      <c r="B37" s="4" t="n">
        <v>1</v>
      </c>
      <c r="C37" s="4" t="s">
        <v>446</v>
      </c>
      <c r="D37" s="4" t="s">
        <v>307</v>
      </c>
      <c r="E37" s="4" t="s">
        <v>718</v>
      </c>
      <c r="F37" s="4" t="n">
        <v>22</v>
      </c>
      <c r="G37" s="4" t="n">
        <v>2023</v>
      </c>
      <c r="H37" s="4" t="s">
        <v>662</v>
      </c>
      <c r="I37" s="4" t="s">
        <v>19</v>
      </c>
      <c r="J37" s="4" t="s">
        <v>66</v>
      </c>
      <c r="K37" s="4" t="s">
        <v>719</v>
      </c>
      <c r="L37" s="4" t="s">
        <v>25</v>
      </c>
      <c r="M37" s="4" t="s">
        <v>720</v>
      </c>
      <c r="N37" s="4" t="s">
        <v>653</v>
      </c>
      <c r="O37" s="8" t="n">
        <v>35.5</v>
      </c>
      <c r="P37" s="8" t="n">
        <v>35.5</v>
      </c>
      <c r="Q37" s="8" t="s">
        <v>25</v>
      </c>
    </row>
    <row r="38" customFormat="false" ht="39.75" hidden="false" customHeight="true" outlineLevel="0" collapsed="false">
      <c r="A38" s="4" t="s">
        <v>16</v>
      </c>
      <c r="B38" s="4" t="n">
        <v>1</v>
      </c>
      <c r="C38" s="4" t="s">
        <v>446</v>
      </c>
      <c r="D38" s="4" t="s">
        <v>307</v>
      </c>
      <c r="E38" s="4" t="s">
        <v>721</v>
      </c>
      <c r="F38" s="4" t="n">
        <v>23</v>
      </c>
      <c r="G38" s="4" t="n">
        <v>2024</v>
      </c>
      <c r="H38" s="4" t="s">
        <v>650</v>
      </c>
      <c r="I38" s="4" t="s">
        <v>19</v>
      </c>
      <c r="J38" s="4" t="s">
        <v>66</v>
      </c>
      <c r="K38" s="4" t="s">
        <v>722</v>
      </c>
      <c r="L38" s="4" t="s">
        <v>25</v>
      </c>
      <c r="M38" s="4" t="s">
        <v>723</v>
      </c>
      <c r="N38" s="4" t="s">
        <v>653</v>
      </c>
      <c r="O38" s="8" t="n">
        <v>23.9</v>
      </c>
      <c r="P38" s="8" t="n">
        <v>23.9</v>
      </c>
      <c r="Q38" s="8" t="s">
        <v>25</v>
      </c>
    </row>
    <row r="39" customFormat="false" ht="39.75" hidden="false" customHeight="true" outlineLevel="0" collapsed="false">
      <c r="A39" s="4" t="s">
        <v>16</v>
      </c>
      <c r="B39" s="4" t="n">
        <v>1</v>
      </c>
      <c r="C39" s="4" t="s">
        <v>446</v>
      </c>
      <c r="D39" s="4" t="s">
        <v>307</v>
      </c>
      <c r="E39" s="4" t="s">
        <v>724</v>
      </c>
      <c r="F39" s="4" t="n">
        <v>24</v>
      </c>
      <c r="G39" s="4" t="n">
        <v>2024</v>
      </c>
      <c r="H39" s="4" t="s">
        <v>132</v>
      </c>
      <c r="I39" s="4" t="s">
        <v>19</v>
      </c>
      <c r="J39" s="4" t="s">
        <v>66</v>
      </c>
      <c r="K39" s="4" t="s">
        <v>725</v>
      </c>
      <c r="L39" s="4" t="s">
        <v>25</v>
      </c>
      <c r="M39" s="4" t="s">
        <v>726</v>
      </c>
      <c r="N39" s="4" t="s">
        <v>653</v>
      </c>
      <c r="O39" s="8" t="n">
        <v>6600</v>
      </c>
      <c r="P39" s="8" t="n">
        <v>6600</v>
      </c>
      <c r="Q39" s="8" t="s">
        <v>25</v>
      </c>
    </row>
    <row r="40" customFormat="false" ht="39.75" hidden="false" customHeight="true" outlineLevel="0" collapsed="false">
      <c r="A40" s="4" t="s">
        <v>16</v>
      </c>
      <c r="B40" s="4" t="n">
        <v>1</v>
      </c>
      <c r="C40" s="4" t="s">
        <v>446</v>
      </c>
      <c r="D40" s="4" t="s">
        <v>307</v>
      </c>
      <c r="E40" s="4" t="s">
        <v>727</v>
      </c>
      <c r="F40" s="4" t="n">
        <v>25</v>
      </c>
      <c r="G40" s="4" t="n">
        <v>2024</v>
      </c>
      <c r="H40" s="4" t="s">
        <v>675</v>
      </c>
      <c r="I40" s="4" t="s">
        <v>19</v>
      </c>
      <c r="J40" s="4" t="s">
        <v>66</v>
      </c>
      <c r="K40" s="4" t="s">
        <v>728</v>
      </c>
      <c r="L40" s="4" t="s">
        <v>25</v>
      </c>
      <c r="M40" s="4" t="s">
        <v>729</v>
      </c>
      <c r="N40" s="4" t="s">
        <v>653</v>
      </c>
      <c r="O40" s="8" t="n">
        <v>123</v>
      </c>
      <c r="P40" s="8" t="n">
        <v>123</v>
      </c>
      <c r="Q40" s="8" t="s">
        <v>25</v>
      </c>
    </row>
    <row r="41" customFormat="false" ht="39.75" hidden="false" customHeight="true" outlineLevel="0" collapsed="false">
      <c r="A41" s="4" t="s">
        <v>16</v>
      </c>
      <c r="B41" s="4" t="n">
        <v>1</v>
      </c>
      <c r="C41" s="4" t="s">
        <v>446</v>
      </c>
      <c r="D41" s="4" t="s">
        <v>307</v>
      </c>
      <c r="E41" s="4" t="s">
        <v>730</v>
      </c>
      <c r="F41" s="4" t="n">
        <v>26</v>
      </c>
      <c r="G41" s="4" t="n">
        <v>2025</v>
      </c>
      <c r="H41" s="4" t="s">
        <v>685</v>
      </c>
      <c r="I41" s="4" t="s">
        <v>19</v>
      </c>
      <c r="J41" s="4" t="s">
        <v>66</v>
      </c>
      <c r="K41" s="4" t="s">
        <v>731</v>
      </c>
      <c r="L41" s="4" t="s">
        <v>286</v>
      </c>
      <c r="M41" s="8" t="s">
        <v>732</v>
      </c>
      <c r="N41" s="8" t="s">
        <v>733</v>
      </c>
      <c r="O41" s="8" t="n">
        <v>407</v>
      </c>
      <c r="P41" s="8" t="n">
        <v>407</v>
      </c>
      <c r="Q41" s="8" t="s">
        <v>286</v>
      </c>
    </row>
    <row r="42" customFormat="false" ht="39.75" hidden="false" customHeight="true" outlineLevel="0" collapsed="false">
      <c r="A42" s="4" t="s">
        <v>16</v>
      </c>
      <c r="B42" s="4" t="n">
        <v>1</v>
      </c>
      <c r="C42" s="4" t="s">
        <v>384</v>
      </c>
      <c r="D42" s="4" t="s">
        <v>90</v>
      </c>
      <c r="E42" s="4" t="s">
        <v>734</v>
      </c>
      <c r="F42" s="4" t="n">
        <v>3</v>
      </c>
      <c r="G42" s="4" t="n">
        <v>2024</v>
      </c>
      <c r="H42" s="4" t="s">
        <v>314</v>
      </c>
      <c r="I42" s="4" t="s">
        <v>19</v>
      </c>
      <c r="J42" s="4" t="s">
        <v>535</v>
      </c>
      <c r="K42" s="4" t="s">
        <v>735</v>
      </c>
      <c r="L42" s="4" t="s">
        <v>119</v>
      </c>
      <c r="M42" s="8" t="s">
        <v>736</v>
      </c>
      <c r="N42" s="8" t="s">
        <v>733</v>
      </c>
      <c r="O42" s="8" t="n">
        <v>100</v>
      </c>
      <c r="P42" s="8" t="n">
        <v>100</v>
      </c>
      <c r="Q42" s="8" t="s">
        <v>119</v>
      </c>
    </row>
    <row r="43" customFormat="false" ht="39.75" hidden="false" customHeight="true" outlineLevel="0" collapsed="false">
      <c r="A43" s="4" t="s">
        <v>16</v>
      </c>
      <c r="B43" s="8" t="n">
        <v>1</v>
      </c>
      <c r="C43" s="4" t="s">
        <v>384</v>
      </c>
      <c r="D43" s="8" t="s">
        <v>90</v>
      </c>
      <c r="E43" s="8" t="s">
        <v>737</v>
      </c>
      <c r="F43" s="8" t="n">
        <v>4</v>
      </c>
      <c r="G43" s="8" t="n">
        <v>2024</v>
      </c>
      <c r="H43" s="8" t="s">
        <v>97</v>
      </c>
      <c r="I43" s="8" t="s">
        <v>19</v>
      </c>
      <c r="J43" s="8" t="s">
        <v>66</v>
      </c>
      <c r="K43" s="8" t="s">
        <v>735</v>
      </c>
      <c r="L43" s="8" t="s">
        <v>701</v>
      </c>
      <c r="M43" s="8" t="s">
        <v>738</v>
      </c>
      <c r="N43" s="8" t="s">
        <v>733</v>
      </c>
      <c r="O43" s="8" t="n">
        <v>100</v>
      </c>
      <c r="P43" s="8" t="n">
        <v>100</v>
      </c>
      <c r="Q43" s="8" t="s">
        <v>110</v>
      </c>
    </row>
    <row r="44" customFormat="false" ht="39.75" hidden="false" customHeight="true" outlineLevel="0" collapsed="false">
      <c r="A44" s="4" t="s">
        <v>16</v>
      </c>
      <c r="B44" s="8" t="n">
        <v>1</v>
      </c>
      <c r="C44" s="4" t="s">
        <v>384</v>
      </c>
      <c r="D44" s="8" t="s">
        <v>90</v>
      </c>
      <c r="E44" s="8" t="s">
        <v>739</v>
      </c>
      <c r="F44" s="8" t="n">
        <v>5</v>
      </c>
      <c r="G44" s="8" t="n">
        <v>2024</v>
      </c>
      <c r="H44" s="8" t="s">
        <v>97</v>
      </c>
      <c r="I44" s="8" t="s">
        <v>19</v>
      </c>
      <c r="J44" s="8" t="s">
        <v>66</v>
      </c>
      <c r="K44" s="8" t="s">
        <v>735</v>
      </c>
      <c r="L44" s="8" t="s">
        <v>629</v>
      </c>
      <c r="M44" s="8" t="s">
        <v>740</v>
      </c>
      <c r="N44" s="8" t="s">
        <v>733</v>
      </c>
      <c r="O44" s="8" t="n">
        <v>100</v>
      </c>
      <c r="P44" s="8" t="n">
        <v>100</v>
      </c>
      <c r="Q44" s="8" t="s">
        <v>38</v>
      </c>
    </row>
    <row r="45" customFormat="false" ht="39.75" hidden="false" customHeight="true" outlineLevel="0" collapsed="false">
      <c r="A45" s="4" t="s">
        <v>16</v>
      </c>
      <c r="B45" s="8" t="n">
        <v>1</v>
      </c>
      <c r="C45" s="4" t="s">
        <v>446</v>
      </c>
      <c r="D45" s="4" t="s">
        <v>307</v>
      </c>
      <c r="E45" s="4" t="s">
        <v>741</v>
      </c>
      <c r="F45" s="4" t="n">
        <v>27</v>
      </c>
      <c r="G45" s="4" t="n">
        <v>2025</v>
      </c>
      <c r="H45" s="4" t="s">
        <v>314</v>
      </c>
      <c r="I45" s="4" t="s">
        <v>19</v>
      </c>
      <c r="J45" s="4" t="s">
        <v>66</v>
      </c>
      <c r="K45" s="4" t="s">
        <v>742</v>
      </c>
      <c r="L45" s="4" t="s">
        <v>227</v>
      </c>
      <c r="M45" s="8" t="s">
        <v>743</v>
      </c>
      <c r="N45" s="8" t="s">
        <v>733</v>
      </c>
      <c r="O45" s="8" t="n">
        <v>53</v>
      </c>
      <c r="P45" s="8" t="n">
        <v>53</v>
      </c>
      <c r="Q45" s="8" t="s">
        <v>119</v>
      </c>
    </row>
    <row r="46" customFormat="false" ht="39.75" hidden="false" customHeight="true" outlineLevel="0" collapsed="false">
      <c r="A46" s="4" t="s">
        <v>16</v>
      </c>
      <c r="B46" s="8" t="n">
        <v>1</v>
      </c>
      <c r="C46" s="4" t="s">
        <v>446</v>
      </c>
      <c r="D46" s="4" t="s">
        <v>307</v>
      </c>
      <c r="E46" s="4" t="s">
        <v>744</v>
      </c>
      <c r="F46" s="4" t="n">
        <v>28</v>
      </c>
      <c r="G46" s="4" t="n">
        <v>2024</v>
      </c>
      <c r="H46" s="4" t="s">
        <v>685</v>
      </c>
      <c r="I46" s="4" t="s">
        <v>19</v>
      </c>
      <c r="J46" s="4" t="s">
        <v>66</v>
      </c>
      <c r="K46" s="4" t="s">
        <v>745</v>
      </c>
      <c r="L46" s="4" t="s">
        <v>110</v>
      </c>
      <c r="M46" s="8" t="s">
        <v>746</v>
      </c>
      <c r="N46" s="8" t="s">
        <v>733</v>
      </c>
      <c r="O46" s="8" t="n">
        <v>325</v>
      </c>
      <c r="P46" s="8" t="n">
        <v>325</v>
      </c>
      <c r="Q46" s="8" t="s">
        <v>110</v>
      </c>
    </row>
    <row r="47" customFormat="false" ht="39.75" hidden="false" customHeight="true" outlineLevel="0" collapsed="false">
      <c r="A47" s="4" t="s">
        <v>16</v>
      </c>
      <c r="B47" s="8" t="n">
        <v>1</v>
      </c>
      <c r="C47" s="4" t="s">
        <v>397</v>
      </c>
      <c r="D47" s="4" t="s">
        <v>303</v>
      </c>
      <c r="E47" s="4" t="s">
        <v>747</v>
      </c>
      <c r="F47" s="4" t="n">
        <v>1</v>
      </c>
      <c r="G47" s="4" t="n">
        <v>2024</v>
      </c>
      <c r="H47" s="4" t="s">
        <v>97</v>
      </c>
      <c r="I47" s="4" t="s">
        <v>19</v>
      </c>
      <c r="J47" s="4" t="s">
        <v>535</v>
      </c>
      <c r="K47" s="4" t="s">
        <v>398</v>
      </c>
      <c r="L47" s="4" t="s">
        <v>119</v>
      </c>
      <c r="M47" s="4" t="s">
        <v>748</v>
      </c>
      <c r="N47" s="8" t="s">
        <v>733</v>
      </c>
      <c r="O47" s="8" t="n">
        <v>285</v>
      </c>
      <c r="P47" s="8" t="n">
        <v>285</v>
      </c>
      <c r="Q47" s="8" t="s">
        <v>119</v>
      </c>
    </row>
    <row r="48" customFormat="false" ht="39.75" hidden="false" customHeight="true" outlineLevel="0" collapsed="false">
      <c r="A48" s="4" t="s">
        <v>16</v>
      </c>
      <c r="B48" s="8" t="n">
        <v>1</v>
      </c>
      <c r="C48" s="29" t="s">
        <v>389</v>
      </c>
      <c r="D48" s="29" t="s">
        <v>96</v>
      </c>
      <c r="E48" s="4" t="s">
        <v>749</v>
      </c>
      <c r="F48" s="4" t="n">
        <v>2</v>
      </c>
      <c r="G48" s="4" t="n">
        <v>2024</v>
      </c>
      <c r="H48" s="4" t="s">
        <v>662</v>
      </c>
      <c r="I48" s="4" t="s">
        <v>19</v>
      </c>
      <c r="J48" s="4" t="s">
        <v>535</v>
      </c>
      <c r="K48" s="4" t="s">
        <v>750</v>
      </c>
      <c r="L48" s="4" t="s">
        <v>119</v>
      </c>
      <c r="M48" s="4" t="s">
        <v>751</v>
      </c>
      <c r="N48" s="8" t="s">
        <v>752</v>
      </c>
      <c r="O48" s="8" t="n">
        <v>5</v>
      </c>
      <c r="P48" s="8" t="n">
        <v>5</v>
      </c>
      <c r="Q48" s="8" t="s">
        <v>119</v>
      </c>
    </row>
    <row r="49" customFormat="false" ht="39.75" hidden="false" customHeight="true" outlineLevel="0" collapsed="false">
      <c r="A49" s="9" t="s">
        <v>64</v>
      </c>
      <c r="B49" s="30" t="n">
        <v>6</v>
      </c>
      <c r="C49" s="30" t="s">
        <v>480</v>
      </c>
      <c r="D49" s="30" t="s">
        <v>28</v>
      </c>
      <c r="E49" s="30" t="s">
        <v>753</v>
      </c>
      <c r="F49" s="30" t="n">
        <v>1</v>
      </c>
      <c r="G49" s="30" t="n">
        <v>2024</v>
      </c>
      <c r="H49" s="9" t="s">
        <v>754</v>
      </c>
      <c r="I49" s="30" t="s">
        <v>19</v>
      </c>
      <c r="J49" s="30" t="s">
        <v>535</v>
      </c>
      <c r="K49" s="30" t="s">
        <v>755</v>
      </c>
      <c r="L49" s="30" t="s">
        <v>25</v>
      </c>
      <c r="M49" s="9" t="s">
        <v>756</v>
      </c>
      <c r="N49" s="31" t="s">
        <v>757</v>
      </c>
      <c r="O49" s="8" t="n">
        <v>4.12</v>
      </c>
      <c r="P49" s="8" t="n">
        <v>4.12</v>
      </c>
      <c r="Q49" s="8" t="s">
        <v>25</v>
      </c>
    </row>
    <row r="50" customFormat="false" ht="39.75" hidden="false" customHeight="true" outlineLevel="0" collapsed="false">
      <c r="A50" s="9" t="s">
        <v>64</v>
      </c>
      <c r="B50" s="30" t="n">
        <v>6</v>
      </c>
      <c r="C50" s="30" t="s">
        <v>480</v>
      </c>
      <c r="D50" s="30" t="s">
        <v>28</v>
      </c>
      <c r="E50" s="30" t="s">
        <v>758</v>
      </c>
      <c r="F50" s="30" t="n">
        <v>2</v>
      </c>
      <c r="G50" s="30" t="n">
        <v>2025</v>
      </c>
      <c r="H50" s="9" t="s">
        <v>754</v>
      </c>
      <c r="I50" s="30" t="s">
        <v>19</v>
      </c>
      <c r="J50" s="30" t="s">
        <v>535</v>
      </c>
      <c r="K50" s="30" t="s">
        <v>759</v>
      </c>
      <c r="L50" s="30" t="s">
        <v>286</v>
      </c>
      <c r="M50" s="9" t="s">
        <v>760</v>
      </c>
      <c r="N50" s="31" t="s">
        <v>761</v>
      </c>
      <c r="O50" s="8" t="n">
        <v>2.4</v>
      </c>
      <c r="P50" s="8" t="n">
        <v>2.4</v>
      </c>
      <c r="Q50" s="8" t="s">
        <v>286</v>
      </c>
    </row>
    <row r="51" customFormat="false" ht="39.75" hidden="false" customHeight="true" outlineLevel="0" collapsed="false">
      <c r="A51" s="9" t="s">
        <v>64</v>
      </c>
      <c r="B51" s="30" t="n">
        <v>6</v>
      </c>
      <c r="C51" s="30" t="s">
        <v>480</v>
      </c>
      <c r="D51" s="30" t="s">
        <v>28</v>
      </c>
      <c r="E51" s="30" t="s">
        <v>762</v>
      </c>
      <c r="F51" s="30" t="n">
        <v>3</v>
      </c>
      <c r="G51" s="30" t="n">
        <v>2025</v>
      </c>
      <c r="H51" s="9" t="s">
        <v>754</v>
      </c>
      <c r="I51" s="30" t="s">
        <v>19</v>
      </c>
      <c r="J51" s="30" t="s">
        <v>535</v>
      </c>
      <c r="K51" s="30" t="s">
        <v>763</v>
      </c>
      <c r="L51" s="30" t="s">
        <v>537</v>
      </c>
      <c r="M51" s="9" t="s">
        <v>764</v>
      </c>
      <c r="N51" s="31" t="s">
        <v>765</v>
      </c>
      <c r="O51" s="8" t="n">
        <v>23.25</v>
      </c>
      <c r="P51" s="8" t="n">
        <v>23.25</v>
      </c>
      <c r="Q51" s="8" t="s">
        <v>44</v>
      </c>
    </row>
    <row r="52" customFormat="false" ht="39.75" hidden="false" customHeight="true" outlineLevel="0" collapsed="false">
      <c r="A52" s="9" t="s">
        <v>64</v>
      </c>
      <c r="B52" s="30" t="n">
        <v>6</v>
      </c>
      <c r="C52" s="30" t="s">
        <v>480</v>
      </c>
      <c r="D52" s="30" t="s">
        <v>28</v>
      </c>
      <c r="E52" s="30" t="s">
        <v>766</v>
      </c>
      <c r="F52" s="30" t="n">
        <v>4</v>
      </c>
      <c r="G52" s="30" t="n">
        <v>2025</v>
      </c>
      <c r="H52" s="9" t="s">
        <v>754</v>
      </c>
      <c r="I52" s="30" t="s">
        <v>19</v>
      </c>
      <c r="J52" s="30" t="s">
        <v>535</v>
      </c>
      <c r="K52" s="30" t="s">
        <v>767</v>
      </c>
      <c r="L52" s="30" t="s">
        <v>38</v>
      </c>
      <c r="M52" s="9" t="s">
        <v>768</v>
      </c>
      <c r="N52" s="31" t="s">
        <v>769</v>
      </c>
      <c r="O52" s="8" t="n">
        <v>2</v>
      </c>
      <c r="P52" s="8" t="n">
        <v>2</v>
      </c>
      <c r="Q52" s="8" t="s">
        <v>38</v>
      </c>
    </row>
    <row r="53" customFormat="false" ht="39.75" hidden="false" customHeight="true" outlineLevel="0" collapsed="false">
      <c r="A53" s="9" t="s">
        <v>64</v>
      </c>
      <c r="B53" s="30" t="n">
        <v>6</v>
      </c>
      <c r="C53" s="30" t="s">
        <v>480</v>
      </c>
      <c r="D53" s="30" t="s">
        <v>28</v>
      </c>
      <c r="E53" s="30" t="s">
        <v>770</v>
      </c>
      <c r="F53" s="30" t="n">
        <v>5</v>
      </c>
      <c r="G53" s="30" t="n">
        <v>2025</v>
      </c>
      <c r="H53" s="9" t="s">
        <v>754</v>
      </c>
      <c r="I53" s="30" t="s">
        <v>19</v>
      </c>
      <c r="J53" s="30" t="s">
        <v>535</v>
      </c>
      <c r="K53" s="30" t="s">
        <v>771</v>
      </c>
      <c r="L53" s="30" t="s">
        <v>286</v>
      </c>
      <c r="M53" s="9" t="s">
        <v>772</v>
      </c>
      <c r="N53" s="31" t="s">
        <v>773</v>
      </c>
      <c r="O53" s="8" t="n">
        <v>17.3</v>
      </c>
      <c r="P53" s="8" t="n">
        <v>17.3</v>
      </c>
      <c r="Q53" s="8" t="s">
        <v>286</v>
      </c>
    </row>
    <row r="54" customFormat="false" ht="39.75" hidden="false" customHeight="true" outlineLevel="0" collapsed="false">
      <c r="A54" s="9" t="s">
        <v>64</v>
      </c>
      <c r="B54" s="30" t="n">
        <v>6</v>
      </c>
      <c r="C54" s="30" t="s">
        <v>480</v>
      </c>
      <c r="D54" s="30" t="s">
        <v>28</v>
      </c>
      <c r="E54" s="30" t="s">
        <v>774</v>
      </c>
      <c r="F54" s="30" t="n">
        <v>6</v>
      </c>
      <c r="G54" s="30" t="n">
        <v>2025</v>
      </c>
      <c r="H54" s="9" t="s">
        <v>754</v>
      </c>
      <c r="I54" s="30" t="s">
        <v>19</v>
      </c>
      <c r="J54" s="30" t="s">
        <v>535</v>
      </c>
      <c r="K54" s="30" t="s">
        <v>775</v>
      </c>
      <c r="L54" s="30" t="s">
        <v>286</v>
      </c>
      <c r="M54" s="9" t="s">
        <v>776</v>
      </c>
      <c r="N54" s="31" t="s">
        <v>777</v>
      </c>
      <c r="O54" s="8" t="n">
        <v>7.87</v>
      </c>
      <c r="P54" s="8" t="n">
        <v>7.87</v>
      </c>
      <c r="Q54" s="8" t="s">
        <v>286</v>
      </c>
    </row>
    <row r="55" customFormat="false" ht="39.75" hidden="false" customHeight="true" outlineLevel="0" collapsed="false">
      <c r="A55" s="9" t="s">
        <v>64</v>
      </c>
      <c r="B55" s="30" t="n">
        <v>6</v>
      </c>
      <c r="C55" s="30" t="s">
        <v>480</v>
      </c>
      <c r="D55" s="30" t="s">
        <v>28</v>
      </c>
      <c r="E55" s="30" t="s">
        <v>778</v>
      </c>
      <c r="F55" s="30" t="n">
        <v>7</v>
      </c>
      <c r="G55" s="30" t="n">
        <v>2025</v>
      </c>
      <c r="H55" s="9" t="s">
        <v>754</v>
      </c>
      <c r="I55" s="30" t="s">
        <v>19</v>
      </c>
      <c r="J55" s="30" t="s">
        <v>535</v>
      </c>
      <c r="K55" s="30" t="s">
        <v>779</v>
      </c>
      <c r="L55" s="30" t="s">
        <v>316</v>
      </c>
      <c r="M55" s="9" t="s">
        <v>780</v>
      </c>
      <c r="N55" s="31" t="s">
        <v>781</v>
      </c>
      <c r="O55" s="8" t="n">
        <v>3.08</v>
      </c>
      <c r="P55" s="8" t="n">
        <v>3.08</v>
      </c>
      <c r="Q55" s="8" t="s">
        <v>316</v>
      </c>
    </row>
    <row r="56" customFormat="false" ht="39.75" hidden="false" customHeight="true" outlineLevel="0" collapsed="false">
      <c r="A56" s="9" t="s">
        <v>64</v>
      </c>
      <c r="B56" s="30" t="n">
        <v>6</v>
      </c>
      <c r="C56" s="30" t="s">
        <v>480</v>
      </c>
      <c r="D56" s="30" t="s">
        <v>28</v>
      </c>
      <c r="E56" s="30" t="s">
        <v>782</v>
      </c>
      <c r="F56" s="30" t="n">
        <v>8</v>
      </c>
      <c r="G56" s="30" t="n">
        <v>2025</v>
      </c>
      <c r="H56" s="9" t="s">
        <v>754</v>
      </c>
      <c r="I56" s="30" t="s">
        <v>19</v>
      </c>
      <c r="J56" s="30" t="s">
        <v>535</v>
      </c>
      <c r="K56" s="30" t="s">
        <v>783</v>
      </c>
      <c r="L56" s="30" t="s">
        <v>286</v>
      </c>
      <c r="M56" s="9" t="s">
        <v>784</v>
      </c>
      <c r="N56" s="31" t="s">
        <v>785</v>
      </c>
      <c r="O56" s="8" t="n">
        <v>5.3</v>
      </c>
      <c r="P56" s="8" t="n">
        <v>5.3</v>
      </c>
      <c r="Q56" s="8" t="s">
        <v>286</v>
      </c>
    </row>
    <row r="57" customFormat="false" ht="39.75" hidden="false" customHeight="true" outlineLevel="0" collapsed="false">
      <c r="A57" s="9" t="s">
        <v>64</v>
      </c>
      <c r="B57" s="30" t="n">
        <v>6</v>
      </c>
      <c r="C57" s="30" t="s">
        <v>480</v>
      </c>
      <c r="D57" s="30" t="s">
        <v>28</v>
      </c>
      <c r="E57" s="30" t="s">
        <v>786</v>
      </c>
      <c r="F57" s="30" t="n">
        <v>9</v>
      </c>
      <c r="G57" s="30" t="n">
        <v>2025</v>
      </c>
      <c r="H57" s="9" t="s">
        <v>754</v>
      </c>
      <c r="I57" s="30" t="s">
        <v>19</v>
      </c>
      <c r="J57" s="30" t="s">
        <v>535</v>
      </c>
      <c r="K57" s="30" t="s">
        <v>787</v>
      </c>
      <c r="L57" s="30" t="s">
        <v>316</v>
      </c>
      <c r="M57" s="9" t="s">
        <v>788</v>
      </c>
      <c r="N57" s="31" t="s">
        <v>789</v>
      </c>
      <c r="O57" s="8" t="n">
        <v>3.6</v>
      </c>
      <c r="P57" s="8" t="n">
        <v>3.6</v>
      </c>
      <c r="Q57" s="8" t="s">
        <v>316</v>
      </c>
    </row>
    <row r="58" customFormat="false" ht="39.75" hidden="false" customHeight="true" outlineLevel="0" collapsed="false">
      <c r="A58" s="9" t="s">
        <v>64</v>
      </c>
      <c r="B58" s="30" t="n">
        <v>6</v>
      </c>
      <c r="C58" s="30" t="s">
        <v>480</v>
      </c>
      <c r="D58" s="30" t="s">
        <v>28</v>
      </c>
      <c r="E58" s="30" t="s">
        <v>790</v>
      </c>
      <c r="F58" s="30" t="n">
        <v>10</v>
      </c>
      <c r="G58" s="30" t="n">
        <v>2025</v>
      </c>
      <c r="H58" s="9" t="s">
        <v>754</v>
      </c>
      <c r="I58" s="30" t="s">
        <v>19</v>
      </c>
      <c r="J58" s="30" t="s">
        <v>535</v>
      </c>
      <c r="K58" s="30" t="s">
        <v>791</v>
      </c>
      <c r="L58" s="30" t="s">
        <v>25</v>
      </c>
      <c r="M58" s="9" t="s">
        <v>792</v>
      </c>
      <c r="N58" s="31" t="s">
        <v>793</v>
      </c>
      <c r="O58" s="8" t="n">
        <v>250</v>
      </c>
      <c r="P58" s="8" t="n">
        <v>250</v>
      </c>
      <c r="Q58" s="8" t="s">
        <v>25</v>
      </c>
    </row>
    <row r="59" customFormat="false" ht="39.75" hidden="false" customHeight="true" outlineLevel="0" collapsed="false">
      <c r="A59" s="9" t="s">
        <v>64</v>
      </c>
      <c r="B59" s="30" t="n">
        <v>6</v>
      </c>
      <c r="C59" s="30" t="s">
        <v>480</v>
      </c>
      <c r="D59" s="30" t="s">
        <v>28</v>
      </c>
      <c r="E59" s="30" t="s">
        <v>794</v>
      </c>
      <c r="F59" s="30" t="n">
        <v>11</v>
      </c>
      <c r="G59" s="30" t="n">
        <v>2025</v>
      </c>
      <c r="H59" s="9" t="s">
        <v>754</v>
      </c>
      <c r="I59" s="30" t="s">
        <v>19</v>
      </c>
      <c r="J59" s="30" t="s">
        <v>535</v>
      </c>
      <c r="K59" s="30" t="s">
        <v>795</v>
      </c>
      <c r="L59" s="30" t="s">
        <v>38</v>
      </c>
      <c r="M59" s="9" t="s">
        <v>796</v>
      </c>
      <c r="N59" s="31" t="s">
        <v>797</v>
      </c>
      <c r="O59" s="8" t="n">
        <v>1.3</v>
      </c>
      <c r="P59" s="8" t="n">
        <v>1.3</v>
      </c>
      <c r="Q59" s="8" t="s">
        <v>38</v>
      </c>
    </row>
    <row r="60" customFormat="false" ht="39.75" hidden="false" customHeight="true" outlineLevel="0" collapsed="false">
      <c r="A60" s="9" t="s">
        <v>77</v>
      </c>
      <c r="B60" s="9" t="n">
        <v>8</v>
      </c>
      <c r="C60" s="9" t="s">
        <v>798</v>
      </c>
      <c r="D60" s="9" t="s">
        <v>28</v>
      </c>
      <c r="E60" s="9" t="s">
        <v>799</v>
      </c>
      <c r="F60" s="9" t="n">
        <v>1</v>
      </c>
      <c r="G60" s="9" t="n">
        <v>2015</v>
      </c>
      <c r="H60" s="9" t="s">
        <v>754</v>
      </c>
      <c r="I60" s="9" t="s">
        <v>73</v>
      </c>
      <c r="J60" s="9" t="s">
        <v>79</v>
      </c>
      <c r="K60" s="9" t="s">
        <v>800</v>
      </c>
      <c r="L60" s="9" t="s">
        <v>25</v>
      </c>
      <c r="M60" s="9" t="s">
        <v>801</v>
      </c>
      <c r="N60" s="4" t="s">
        <v>802</v>
      </c>
      <c r="O60" s="8" t="n">
        <v>2700</v>
      </c>
      <c r="P60" s="8" t="n">
        <v>378</v>
      </c>
      <c r="Q60" s="8" t="s">
        <v>25</v>
      </c>
    </row>
    <row r="61" customFormat="false" ht="39.75" hidden="false" customHeight="true" outlineLevel="0" collapsed="false">
      <c r="A61" s="9" t="s">
        <v>77</v>
      </c>
      <c r="B61" s="9" t="n">
        <v>8</v>
      </c>
      <c r="C61" s="9" t="s">
        <v>798</v>
      </c>
      <c r="D61" s="9" t="s">
        <v>28</v>
      </c>
      <c r="E61" s="9" t="s">
        <v>803</v>
      </c>
      <c r="F61" s="9" t="n">
        <v>2</v>
      </c>
      <c r="G61" s="9" t="n">
        <v>2015</v>
      </c>
      <c r="H61" s="9" t="s">
        <v>754</v>
      </c>
      <c r="I61" s="9" t="s">
        <v>73</v>
      </c>
      <c r="J61" s="9" t="s">
        <v>79</v>
      </c>
      <c r="K61" s="9" t="s">
        <v>804</v>
      </c>
      <c r="L61" s="9" t="s">
        <v>805</v>
      </c>
      <c r="M61" s="9" t="s">
        <v>806</v>
      </c>
      <c r="N61" s="4" t="s">
        <v>802</v>
      </c>
      <c r="O61" s="8" t="n">
        <v>4839</v>
      </c>
      <c r="P61" s="8" t="n">
        <v>677.46</v>
      </c>
      <c r="Q61" s="8" t="s">
        <v>25</v>
      </c>
    </row>
    <row r="62" customFormat="false" ht="39.75" hidden="false" customHeight="true" outlineLevel="0" collapsed="false">
      <c r="A62" s="9" t="s">
        <v>77</v>
      </c>
      <c r="B62" s="9" t="n">
        <v>8</v>
      </c>
      <c r="C62" s="9" t="s">
        <v>798</v>
      </c>
      <c r="D62" s="9" t="s">
        <v>28</v>
      </c>
      <c r="E62" s="9" t="s">
        <v>803</v>
      </c>
      <c r="F62" s="9" t="n">
        <v>3</v>
      </c>
      <c r="G62" s="9" t="n">
        <v>2015</v>
      </c>
      <c r="H62" s="9" t="s">
        <v>754</v>
      </c>
      <c r="I62" s="9" t="s">
        <v>73</v>
      </c>
      <c r="J62" s="9" t="s">
        <v>79</v>
      </c>
      <c r="K62" s="9" t="s">
        <v>807</v>
      </c>
      <c r="L62" s="9" t="s">
        <v>808</v>
      </c>
      <c r="M62" s="9" t="s">
        <v>809</v>
      </c>
      <c r="N62" s="4" t="s">
        <v>802</v>
      </c>
      <c r="O62" s="8" t="n">
        <v>1600</v>
      </c>
      <c r="P62" s="8" t="n">
        <v>224</v>
      </c>
      <c r="Q62" s="8" t="s">
        <v>25</v>
      </c>
    </row>
    <row r="63" customFormat="false" ht="39.75" hidden="false" customHeight="true" outlineLevel="0" collapsed="false">
      <c r="A63" s="9" t="s">
        <v>77</v>
      </c>
      <c r="B63" s="9" t="n">
        <v>8</v>
      </c>
      <c r="C63" s="9" t="s">
        <v>798</v>
      </c>
      <c r="D63" s="9" t="s">
        <v>28</v>
      </c>
      <c r="E63" s="9" t="s">
        <v>810</v>
      </c>
      <c r="F63" s="9" t="n">
        <v>4</v>
      </c>
      <c r="G63" s="9" t="n">
        <v>2016</v>
      </c>
      <c r="H63" s="9" t="s">
        <v>754</v>
      </c>
      <c r="I63" s="9" t="s">
        <v>73</v>
      </c>
      <c r="J63" s="9" t="s">
        <v>79</v>
      </c>
      <c r="K63" s="9" t="s">
        <v>811</v>
      </c>
      <c r="L63" s="9" t="s">
        <v>812</v>
      </c>
      <c r="M63" s="9" t="s">
        <v>813</v>
      </c>
      <c r="N63" s="4" t="s">
        <v>802</v>
      </c>
      <c r="O63" s="9" t="n">
        <v>600</v>
      </c>
      <c r="P63" s="8" t="n">
        <v>84</v>
      </c>
      <c r="Q63" s="8" t="s">
        <v>25</v>
      </c>
    </row>
    <row r="64" customFormat="false" ht="39.75" hidden="false" customHeight="true" outlineLevel="0" collapsed="false">
      <c r="A64" s="9" t="s">
        <v>77</v>
      </c>
      <c r="B64" s="9" t="n">
        <v>8</v>
      </c>
      <c r="C64" s="9" t="s">
        <v>798</v>
      </c>
      <c r="D64" s="9" t="s">
        <v>28</v>
      </c>
      <c r="E64" s="9" t="s">
        <v>814</v>
      </c>
      <c r="F64" s="9" t="n">
        <v>5</v>
      </c>
      <c r="G64" s="9" t="n">
        <v>2016</v>
      </c>
      <c r="H64" s="9" t="s">
        <v>754</v>
      </c>
      <c r="I64" s="9" t="s">
        <v>73</v>
      </c>
      <c r="J64" s="9" t="s">
        <v>79</v>
      </c>
      <c r="K64" s="9" t="s">
        <v>815</v>
      </c>
      <c r="L64" s="9" t="s">
        <v>25</v>
      </c>
      <c r="M64" s="9" t="s">
        <v>816</v>
      </c>
      <c r="N64" s="4" t="s">
        <v>802</v>
      </c>
      <c r="O64" s="8" t="n">
        <v>18900</v>
      </c>
      <c r="P64" s="8" t="n">
        <v>2646</v>
      </c>
      <c r="Q64" s="8" t="s">
        <v>25</v>
      </c>
    </row>
    <row r="65" customFormat="false" ht="39.75" hidden="false" customHeight="true" outlineLevel="0" collapsed="false">
      <c r="A65" s="9" t="s">
        <v>77</v>
      </c>
      <c r="B65" s="9" t="n">
        <v>8</v>
      </c>
      <c r="C65" s="9" t="s">
        <v>798</v>
      </c>
      <c r="D65" s="9" t="s">
        <v>28</v>
      </c>
      <c r="E65" s="9" t="s">
        <v>817</v>
      </c>
      <c r="F65" s="9" t="n">
        <v>6</v>
      </c>
      <c r="G65" s="9" t="n">
        <v>2016</v>
      </c>
      <c r="H65" s="9" t="s">
        <v>754</v>
      </c>
      <c r="I65" s="9" t="s">
        <v>73</v>
      </c>
      <c r="J65" s="9" t="s">
        <v>79</v>
      </c>
      <c r="K65" s="9" t="s">
        <v>818</v>
      </c>
      <c r="L65" s="9" t="s">
        <v>25</v>
      </c>
      <c r="M65" s="9" t="s">
        <v>819</v>
      </c>
      <c r="N65" s="4" t="s">
        <v>802</v>
      </c>
      <c r="O65" s="8" t="n">
        <v>4300</v>
      </c>
      <c r="P65" s="8" t="n">
        <v>602</v>
      </c>
      <c r="Q65" s="8" t="s">
        <v>25</v>
      </c>
    </row>
    <row r="66" customFormat="false" ht="39.75" hidden="false" customHeight="true" outlineLevel="0" collapsed="false">
      <c r="A66" s="9" t="s">
        <v>77</v>
      </c>
      <c r="B66" s="9" t="n">
        <v>8</v>
      </c>
      <c r="C66" s="9" t="s">
        <v>798</v>
      </c>
      <c r="D66" s="9" t="s">
        <v>28</v>
      </c>
      <c r="E66" s="9" t="s">
        <v>820</v>
      </c>
      <c r="F66" s="9" t="n">
        <v>7</v>
      </c>
      <c r="G66" s="9" t="n">
        <v>2016</v>
      </c>
      <c r="H66" s="9" t="s">
        <v>754</v>
      </c>
      <c r="I66" s="9" t="s">
        <v>73</v>
      </c>
      <c r="J66" s="9" t="s">
        <v>79</v>
      </c>
      <c r="K66" s="9" t="s">
        <v>821</v>
      </c>
      <c r="L66" s="9" t="s">
        <v>25</v>
      </c>
      <c r="M66" s="9" t="s">
        <v>822</v>
      </c>
      <c r="N66" s="4" t="s">
        <v>802</v>
      </c>
      <c r="O66" s="8" t="n">
        <v>11600</v>
      </c>
      <c r="P66" s="8" t="n">
        <v>1624</v>
      </c>
      <c r="Q66" s="8" t="s">
        <v>25</v>
      </c>
    </row>
    <row r="67" customFormat="false" ht="39.75" hidden="false" customHeight="true" outlineLevel="0" collapsed="false">
      <c r="A67" s="9" t="s">
        <v>823</v>
      </c>
      <c r="B67" s="9" t="n">
        <v>8</v>
      </c>
      <c r="C67" s="9" t="s">
        <v>798</v>
      </c>
      <c r="D67" s="9" t="s">
        <v>28</v>
      </c>
      <c r="E67" s="9" t="s">
        <v>824</v>
      </c>
      <c r="F67" s="9" t="n">
        <v>8</v>
      </c>
      <c r="G67" s="9" t="n">
        <v>2017</v>
      </c>
      <c r="H67" s="9" t="s">
        <v>754</v>
      </c>
      <c r="I67" s="9" t="s">
        <v>73</v>
      </c>
      <c r="J67" s="9" t="s">
        <v>79</v>
      </c>
      <c r="K67" s="9" t="s">
        <v>825</v>
      </c>
      <c r="L67" s="9" t="s">
        <v>25</v>
      </c>
      <c r="M67" s="9" t="s">
        <v>826</v>
      </c>
      <c r="N67" s="4" t="s">
        <v>802</v>
      </c>
      <c r="O67" s="8" t="n">
        <v>1400</v>
      </c>
      <c r="P67" s="8" t="n">
        <v>196</v>
      </c>
      <c r="Q67" s="8" t="s">
        <v>25</v>
      </c>
    </row>
    <row r="68" customFormat="false" ht="39.75" hidden="false" customHeight="true" outlineLevel="0" collapsed="false">
      <c r="A68" s="9" t="s">
        <v>77</v>
      </c>
      <c r="B68" s="9" t="n">
        <v>8</v>
      </c>
      <c r="C68" s="9" t="s">
        <v>798</v>
      </c>
      <c r="D68" s="9" t="s">
        <v>28</v>
      </c>
      <c r="E68" s="9" t="s">
        <v>827</v>
      </c>
      <c r="F68" s="9" t="n">
        <v>9</v>
      </c>
      <c r="G68" s="9" t="n">
        <v>2017</v>
      </c>
      <c r="H68" s="9" t="s">
        <v>754</v>
      </c>
      <c r="I68" s="9" t="s">
        <v>73</v>
      </c>
      <c r="J68" s="9" t="s">
        <v>79</v>
      </c>
      <c r="K68" s="9" t="s">
        <v>811</v>
      </c>
      <c r="L68" s="9" t="s">
        <v>25</v>
      </c>
      <c r="M68" s="9" t="s">
        <v>828</v>
      </c>
      <c r="N68" s="4" t="s">
        <v>802</v>
      </c>
      <c r="O68" s="8" t="n">
        <v>600</v>
      </c>
      <c r="P68" s="8" t="n">
        <v>84</v>
      </c>
      <c r="Q68" s="8" t="s">
        <v>25</v>
      </c>
    </row>
    <row r="69" customFormat="false" ht="39.75" hidden="false" customHeight="true" outlineLevel="0" collapsed="false">
      <c r="A69" s="9" t="s">
        <v>77</v>
      </c>
      <c r="B69" s="9" t="n">
        <v>8</v>
      </c>
      <c r="C69" s="9" t="s">
        <v>798</v>
      </c>
      <c r="D69" s="9" t="s">
        <v>28</v>
      </c>
      <c r="E69" s="9" t="s">
        <v>817</v>
      </c>
      <c r="F69" s="9" t="n">
        <v>10</v>
      </c>
      <c r="G69" s="9" t="n">
        <v>2017</v>
      </c>
      <c r="H69" s="9" t="s">
        <v>754</v>
      </c>
      <c r="I69" s="9" t="s">
        <v>73</v>
      </c>
      <c r="J69" s="9" t="s">
        <v>79</v>
      </c>
      <c r="K69" s="9" t="s">
        <v>829</v>
      </c>
      <c r="L69" s="9" t="s">
        <v>25</v>
      </c>
      <c r="M69" s="9" t="s">
        <v>830</v>
      </c>
      <c r="N69" s="4" t="s">
        <v>802</v>
      </c>
      <c r="O69" s="8" t="n">
        <v>6000</v>
      </c>
      <c r="P69" s="8" t="n">
        <v>840</v>
      </c>
      <c r="Q69" s="8" t="s">
        <v>25</v>
      </c>
    </row>
    <row r="70" customFormat="false" ht="39.75" hidden="false" customHeight="true" outlineLevel="0" collapsed="false">
      <c r="A70" s="9" t="s">
        <v>77</v>
      </c>
      <c r="B70" s="9" t="n">
        <v>8</v>
      </c>
      <c r="C70" s="9" t="s">
        <v>798</v>
      </c>
      <c r="D70" s="9" t="s">
        <v>28</v>
      </c>
      <c r="E70" s="9" t="s">
        <v>831</v>
      </c>
      <c r="F70" s="9" t="n">
        <v>11</v>
      </c>
      <c r="G70" s="9" t="n">
        <v>2018</v>
      </c>
      <c r="H70" s="9" t="s">
        <v>754</v>
      </c>
      <c r="I70" s="9" t="s">
        <v>73</v>
      </c>
      <c r="J70" s="9" t="s">
        <v>79</v>
      </c>
      <c r="K70" s="9" t="s">
        <v>829</v>
      </c>
      <c r="L70" s="9" t="s">
        <v>25</v>
      </c>
      <c r="M70" s="9" t="s">
        <v>832</v>
      </c>
      <c r="N70" s="4" t="s">
        <v>802</v>
      </c>
      <c r="O70" s="8" t="n">
        <v>6000</v>
      </c>
      <c r="P70" s="8" t="n">
        <v>840</v>
      </c>
      <c r="Q70" s="8" t="s">
        <v>25</v>
      </c>
    </row>
    <row r="71" customFormat="false" ht="39.75" hidden="false" customHeight="true" outlineLevel="0" collapsed="false">
      <c r="A71" s="9" t="s">
        <v>77</v>
      </c>
      <c r="B71" s="9" t="n">
        <v>8</v>
      </c>
      <c r="C71" s="9" t="s">
        <v>798</v>
      </c>
      <c r="D71" s="9" t="s">
        <v>28</v>
      </c>
      <c r="E71" s="9" t="s">
        <v>833</v>
      </c>
      <c r="F71" s="9" t="n">
        <v>12</v>
      </c>
      <c r="G71" s="9" t="n">
        <v>2018</v>
      </c>
      <c r="H71" s="9" t="s">
        <v>754</v>
      </c>
      <c r="I71" s="9" t="s">
        <v>73</v>
      </c>
      <c r="J71" s="9" t="s">
        <v>79</v>
      </c>
      <c r="K71" s="9" t="s">
        <v>834</v>
      </c>
      <c r="L71" s="9" t="s">
        <v>25</v>
      </c>
      <c r="M71" s="9" t="s">
        <v>835</v>
      </c>
      <c r="N71" s="4" t="s">
        <v>802</v>
      </c>
      <c r="O71" s="8" t="n">
        <v>2600</v>
      </c>
      <c r="P71" s="8" t="n">
        <v>364</v>
      </c>
      <c r="Q71" s="8" t="s">
        <v>25</v>
      </c>
    </row>
    <row r="72" customFormat="false" ht="39.75" hidden="false" customHeight="true" outlineLevel="0" collapsed="false">
      <c r="A72" s="9" t="s">
        <v>77</v>
      </c>
      <c r="B72" s="9" t="n">
        <v>8</v>
      </c>
      <c r="C72" s="9" t="s">
        <v>798</v>
      </c>
      <c r="D72" s="9" t="s">
        <v>28</v>
      </c>
      <c r="E72" s="9" t="s">
        <v>836</v>
      </c>
      <c r="F72" s="9" t="n">
        <v>13</v>
      </c>
      <c r="G72" s="9" t="n">
        <v>2018</v>
      </c>
      <c r="H72" s="9" t="s">
        <v>754</v>
      </c>
      <c r="I72" s="9" t="s">
        <v>73</v>
      </c>
      <c r="J72" s="9" t="s">
        <v>79</v>
      </c>
      <c r="K72" s="9" t="s">
        <v>837</v>
      </c>
      <c r="L72" s="9" t="s">
        <v>25</v>
      </c>
      <c r="M72" s="9" t="s">
        <v>838</v>
      </c>
      <c r="N72" s="4" t="s">
        <v>802</v>
      </c>
      <c r="O72" s="8" t="n">
        <v>3394</v>
      </c>
      <c r="P72" s="8" t="n">
        <v>475.16</v>
      </c>
      <c r="Q72" s="8" t="s">
        <v>25</v>
      </c>
    </row>
    <row r="73" customFormat="false" ht="39.75" hidden="false" customHeight="true" outlineLevel="0" collapsed="false">
      <c r="A73" s="9" t="s">
        <v>77</v>
      </c>
      <c r="B73" s="9" t="n">
        <v>8</v>
      </c>
      <c r="C73" s="9" t="s">
        <v>798</v>
      </c>
      <c r="D73" s="9" t="s">
        <v>28</v>
      </c>
      <c r="E73" s="9" t="s">
        <v>839</v>
      </c>
      <c r="F73" s="9" t="n">
        <v>14</v>
      </c>
      <c r="G73" s="9" t="n">
        <v>2018</v>
      </c>
      <c r="H73" s="9" t="s">
        <v>754</v>
      </c>
      <c r="I73" s="9" t="s">
        <v>73</v>
      </c>
      <c r="J73" s="9" t="s">
        <v>79</v>
      </c>
      <c r="K73" s="9" t="s">
        <v>840</v>
      </c>
      <c r="L73" s="9" t="s">
        <v>812</v>
      </c>
      <c r="M73" s="9" t="s">
        <v>841</v>
      </c>
      <c r="N73" s="4" t="s">
        <v>802</v>
      </c>
      <c r="O73" s="8" t="n">
        <v>500</v>
      </c>
      <c r="P73" s="8" t="n">
        <v>70</v>
      </c>
      <c r="Q73" s="8" t="s">
        <v>25</v>
      </c>
    </row>
    <row r="74" customFormat="false" ht="39.75" hidden="false" customHeight="true" outlineLevel="0" collapsed="false">
      <c r="A74" s="9" t="s">
        <v>77</v>
      </c>
      <c r="B74" s="9" t="n">
        <v>8</v>
      </c>
      <c r="C74" s="9" t="s">
        <v>798</v>
      </c>
      <c r="D74" s="9" t="s">
        <v>28</v>
      </c>
      <c r="E74" s="9" t="s">
        <v>842</v>
      </c>
      <c r="F74" s="9" t="n">
        <v>15</v>
      </c>
      <c r="G74" s="9" t="n">
        <v>2018</v>
      </c>
      <c r="H74" s="9" t="s">
        <v>754</v>
      </c>
      <c r="I74" s="9" t="s">
        <v>73</v>
      </c>
      <c r="J74" s="9" t="s">
        <v>79</v>
      </c>
      <c r="K74" s="9" t="s">
        <v>843</v>
      </c>
      <c r="L74" s="9" t="s">
        <v>25</v>
      </c>
      <c r="M74" s="9" t="s">
        <v>844</v>
      </c>
      <c r="N74" s="4" t="s">
        <v>802</v>
      </c>
      <c r="O74" s="8" t="n">
        <v>1071</v>
      </c>
      <c r="P74" s="8" t="n">
        <v>149.94</v>
      </c>
      <c r="Q74" s="8" t="s">
        <v>25</v>
      </c>
    </row>
    <row r="75" customFormat="false" ht="39.75" hidden="false" customHeight="true" outlineLevel="0" collapsed="false">
      <c r="A75" s="9" t="s">
        <v>77</v>
      </c>
      <c r="B75" s="9" t="n">
        <v>8</v>
      </c>
      <c r="C75" s="9" t="s">
        <v>798</v>
      </c>
      <c r="D75" s="9" t="s">
        <v>28</v>
      </c>
      <c r="E75" s="9" t="s">
        <v>845</v>
      </c>
      <c r="F75" s="9" t="n">
        <v>16</v>
      </c>
      <c r="G75" s="9" t="n">
        <v>2018</v>
      </c>
      <c r="H75" s="9" t="s">
        <v>754</v>
      </c>
      <c r="I75" s="9" t="s">
        <v>73</v>
      </c>
      <c r="J75" s="9" t="s">
        <v>79</v>
      </c>
      <c r="K75" s="9" t="s">
        <v>846</v>
      </c>
      <c r="L75" s="9" t="s">
        <v>812</v>
      </c>
      <c r="M75" s="9" t="s">
        <v>847</v>
      </c>
      <c r="N75" s="4" t="s">
        <v>802</v>
      </c>
      <c r="O75" s="8" t="n">
        <v>1000</v>
      </c>
      <c r="P75" s="8" t="n">
        <v>140</v>
      </c>
      <c r="Q75" s="8" t="s">
        <v>25</v>
      </c>
    </row>
    <row r="76" customFormat="false" ht="39.75" hidden="false" customHeight="true" outlineLevel="0" collapsed="false">
      <c r="A76" s="9" t="s">
        <v>77</v>
      </c>
      <c r="B76" s="9" t="n">
        <v>8</v>
      </c>
      <c r="C76" s="9" t="s">
        <v>798</v>
      </c>
      <c r="D76" s="9" t="s">
        <v>28</v>
      </c>
      <c r="E76" s="9" t="s">
        <v>814</v>
      </c>
      <c r="F76" s="9" t="n">
        <v>17</v>
      </c>
      <c r="G76" s="9" t="n">
        <v>2019</v>
      </c>
      <c r="H76" s="9" t="s">
        <v>754</v>
      </c>
      <c r="I76" s="9" t="s">
        <v>73</v>
      </c>
      <c r="J76" s="9" t="s">
        <v>79</v>
      </c>
      <c r="K76" s="9" t="s">
        <v>848</v>
      </c>
      <c r="L76" s="9" t="s">
        <v>25</v>
      </c>
      <c r="M76" s="9" t="s">
        <v>849</v>
      </c>
      <c r="N76" s="4" t="s">
        <v>802</v>
      </c>
      <c r="O76" s="8" t="n">
        <v>13500</v>
      </c>
      <c r="P76" s="8" t="n">
        <v>1890</v>
      </c>
      <c r="Q76" s="8" t="s">
        <v>25</v>
      </c>
    </row>
    <row r="77" customFormat="false" ht="39.75" hidden="false" customHeight="true" outlineLevel="0" collapsed="false">
      <c r="A77" s="9" t="s">
        <v>77</v>
      </c>
      <c r="B77" s="9" t="n">
        <v>8</v>
      </c>
      <c r="C77" s="9" t="s">
        <v>798</v>
      </c>
      <c r="D77" s="9" t="s">
        <v>28</v>
      </c>
      <c r="E77" s="9" t="s">
        <v>850</v>
      </c>
      <c r="F77" s="9" t="n">
        <v>18</v>
      </c>
      <c r="G77" s="9" t="n">
        <v>2015</v>
      </c>
      <c r="H77" s="9" t="s">
        <v>754</v>
      </c>
      <c r="I77" s="9" t="s">
        <v>73</v>
      </c>
      <c r="J77" s="9" t="s">
        <v>79</v>
      </c>
      <c r="K77" s="9" t="s">
        <v>851</v>
      </c>
      <c r="L77" s="9" t="s">
        <v>44</v>
      </c>
      <c r="M77" s="9" t="s">
        <v>852</v>
      </c>
      <c r="N77" s="4" t="s">
        <v>802</v>
      </c>
      <c r="O77" s="8" t="n">
        <v>10000</v>
      </c>
      <c r="P77" s="8" t="n">
        <v>1400</v>
      </c>
      <c r="Q77" s="8" t="s">
        <v>44</v>
      </c>
    </row>
    <row r="78" customFormat="false" ht="39.75" hidden="false" customHeight="true" outlineLevel="0" collapsed="false">
      <c r="A78" s="9" t="s">
        <v>77</v>
      </c>
      <c r="B78" s="9" t="n">
        <v>8</v>
      </c>
      <c r="C78" s="9" t="s">
        <v>798</v>
      </c>
      <c r="D78" s="9" t="s">
        <v>28</v>
      </c>
      <c r="E78" s="9" t="s">
        <v>853</v>
      </c>
      <c r="F78" s="9" t="n">
        <v>19</v>
      </c>
      <c r="G78" s="9" t="n">
        <v>2015</v>
      </c>
      <c r="H78" s="9" t="s">
        <v>754</v>
      </c>
      <c r="I78" s="9" t="s">
        <v>73</v>
      </c>
      <c r="J78" s="9" t="s">
        <v>79</v>
      </c>
      <c r="K78" s="9" t="s">
        <v>840</v>
      </c>
      <c r="L78" s="9" t="s">
        <v>44</v>
      </c>
      <c r="M78" s="9" t="s">
        <v>854</v>
      </c>
      <c r="N78" s="4" t="s">
        <v>802</v>
      </c>
      <c r="O78" s="8" t="n">
        <v>500</v>
      </c>
      <c r="P78" s="8" t="n">
        <v>70</v>
      </c>
      <c r="Q78" s="8" t="s">
        <v>44</v>
      </c>
    </row>
    <row r="79" customFormat="false" ht="39.75" hidden="false" customHeight="true" outlineLevel="0" collapsed="false">
      <c r="A79" s="9" t="s">
        <v>77</v>
      </c>
      <c r="B79" s="9" t="n">
        <v>8</v>
      </c>
      <c r="C79" s="9" t="s">
        <v>798</v>
      </c>
      <c r="D79" s="9" t="s">
        <v>28</v>
      </c>
      <c r="E79" s="9" t="s">
        <v>855</v>
      </c>
      <c r="F79" s="9" t="n">
        <v>20</v>
      </c>
      <c r="G79" s="9" t="n">
        <v>2015</v>
      </c>
      <c r="H79" s="9" t="s">
        <v>754</v>
      </c>
      <c r="I79" s="9" t="s">
        <v>73</v>
      </c>
      <c r="J79" s="9" t="s">
        <v>79</v>
      </c>
      <c r="K79" s="9" t="s">
        <v>856</v>
      </c>
      <c r="L79" s="9" t="s">
        <v>44</v>
      </c>
      <c r="M79" s="9" t="s">
        <v>857</v>
      </c>
      <c r="N79" s="4" t="s">
        <v>802</v>
      </c>
      <c r="O79" s="8" t="n">
        <v>400</v>
      </c>
      <c r="P79" s="8" t="n">
        <v>56</v>
      </c>
      <c r="Q79" s="8" t="s">
        <v>44</v>
      </c>
    </row>
    <row r="80" customFormat="false" ht="39.75" hidden="false" customHeight="true" outlineLevel="0" collapsed="false">
      <c r="A80" s="9" t="s">
        <v>77</v>
      </c>
      <c r="B80" s="9" t="n">
        <v>8</v>
      </c>
      <c r="C80" s="9" t="s">
        <v>798</v>
      </c>
      <c r="D80" s="9" t="s">
        <v>28</v>
      </c>
      <c r="E80" s="9" t="s">
        <v>858</v>
      </c>
      <c r="F80" s="9" t="n">
        <v>21</v>
      </c>
      <c r="G80" s="9" t="n">
        <v>2015</v>
      </c>
      <c r="H80" s="9" t="s">
        <v>754</v>
      </c>
      <c r="I80" s="9" t="s">
        <v>73</v>
      </c>
      <c r="J80" s="9" t="s">
        <v>79</v>
      </c>
      <c r="K80" s="9" t="s">
        <v>859</v>
      </c>
      <c r="L80" s="9" t="s">
        <v>44</v>
      </c>
      <c r="M80" s="9" t="s">
        <v>860</v>
      </c>
      <c r="N80" s="4" t="s">
        <v>802</v>
      </c>
      <c r="O80" s="8" t="n">
        <v>1500</v>
      </c>
      <c r="P80" s="8" t="n">
        <v>210</v>
      </c>
      <c r="Q80" s="8" t="s">
        <v>44</v>
      </c>
    </row>
    <row r="81" customFormat="false" ht="39.75" hidden="false" customHeight="true" outlineLevel="0" collapsed="false">
      <c r="A81" s="9" t="s">
        <v>77</v>
      </c>
      <c r="B81" s="9" t="n">
        <v>8</v>
      </c>
      <c r="C81" s="9" t="s">
        <v>798</v>
      </c>
      <c r="D81" s="9" t="s">
        <v>28</v>
      </c>
      <c r="E81" s="9" t="s">
        <v>861</v>
      </c>
      <c r="F81" s="9" t="n">
        <v>22</v>
      </c>
      <c r="G81" s="9" t="n">
        <v>2015</v>
      </c>
      <c r="H81" s="9" t="s">
        <v>754</v>
      </c>
      <c r="I81" s="9" t="s">
        <v>73</v>
      </c>
      <c r="J81" s="9" t="s">
        <v>79</v>
      </c>
      <c r="K81" s="9" t="s">
        <v>862</v>
      </c>
      <c r="L81" s="9" t="s">
        <v>44</v>
      </c>
      <c r="M81" s="9" t="s">
        <v>863</v>
      </c>
      <c r="N81" s="4" t="s">
        <v>802</v>
      </c>
      <c r="O81" s="8" t="n">
        <v>2400</v>
      </c>
      <c r="P81" s="8" t="n">
        <v>336</v>
      </c>
      <c r="Q81" s="8" t="s">
        <v>44</v>
      </c>
    </row>
    <row r="82" customFormat="false" ht="39.75" hidden="false" customHeight="true" outlineLevel="0" collapsed="false">
      <c r="A82" s="9" t="s">
        <v>77</v>
      </c>
      <c r="B82" s="9" t="n">
        <v>8</v>
      </c>
      <c r="C82" s="9" t="s">
        <v>798</v>
      </c>
      <c r="D82" s="9" t="s">
        <v>28</v>
      </c>
      <c r="E82" s="9" t="s">
        <v>864</v>
      </c>
      <c r="F82" s="9" t="n">
        <v>23</v>
      </c>
      <c r="G82" s="9" t="n">
        <v>2016</v>
      </c>
      <c r="H82" s="9" t="s">
        <v>754</v>
      </c>
      <c r="I82" s="9" t="s">
        <v>73</v>
      </c>
      <c r="J82" s="9" t="s">
        <v>79</v>
      </c>
      <c r="K82" s="9" t="s">
        <v>865</v>
      </c>
      <c r="L82" s="9" t="s">
        <v>44</v>
      </c>
      <c r="M82" s="9" t="s">
        <v>866</v>
      </c>
      <c r="N82" s="4" t="s">
        <v>802</v>
      </c>
      <c r="O82" s="8" t="n">
        <v>3300</v>
      </c>
      <c r="P82" s="8" t="n">
        <v>462</v>
      </c>
      <c r="Q82" s="8" t="s">
        <v>44</v>
      </c>
    </row>
    <row r="83" customFormat="false" ht="39.75" hidden="false" customHeight="true" outlineLevel="0" collapsed="false">
      <c r="A83" s="9" t="s">
        <v>77</v>
      </c>
      <c r="B83" s="9" t="n">
        <v>8</v>
      </c>
      <c r="C83" s="9" t="s">
        <v>798</v>
      </c>
      <c r="D83" s="9" t="s">
        <v>28</v>
      </c>
      <c r="E83" s="9" t="s">
        <v>867</v>
      </c>
      <c r="F83" s="9" t="n">
        <v>24</v>
      </c>
      <c r="G83" s="9" t="n">
        <v>2016</v>
      </c>
      <c r="H83" s="9" t="s">
        <v>754</v>
      </c>
      <c r="I83" s="9" t="s">
        <v>73</v>
      </c>
      <c r="J83" s="9" t="s">
        <v>79</v>
      </c>
      <c r="K83" s="9" t="s">
        <v>868</v>
      </c>
      <c r="L83" s="9" t="s">
        <v>869</v>
      </c>
      <c r="M83" s="9" t="s">
        <v>870</v>
      </c>
      <c r="N83" s="4" t="s">
        <v>802</v>
      </c>
      <c r="O83" s="8" t="n">
        <v>190</v>
      </c>
      <c r="P83" s="8" t="n">
        <v>26.6</v>
      </c>
      <c r="Q83" s="8" t="s">
        <v>44</v>
      </c>
    </row>
    <row r="84" customFormat="false" ht="39.75" hidden="false" customHeight="true" outlineLevel="0" collapsed="false">
      <c r="A84" s="9" t="s">
        <v>77</v>
      </c>
      <c r="B84" s="9" t="n">
        <v>8</v>
      </c>
      <c r="C84" s="9" t="s">
        <v>798</v>
      </c>
      <c r="D84" s="9" t="s">
        <v>28</v>
      </c>
      <c r="E84" s="9" t="s">
        <v>871</v>
      </c>
      <c r="F84" s="9" t="n">
        <v>25</v>
      </c>
      <c r="G84" s="9" t="n">
        <v>2017</v>
      </c>
      <c r="H84" s="9" t="s">
        <v>754</v>
      </c>
      <c r="I84" s="9" t="s">
        <v>73</v>
      </c>
      <c r="J84" s="9" t="s">
        <v>79</v>
      </c>
      <c r="K84" s="9" t="s">
        <v>872</v>
      </c>
      <c r="L84" s="9" t="s">
        <v>873</v>
      </c>
      <c r="M84" s="9" t="s">
        <v>874</v>
      </c>
      <c r="N84" s="4" t="s">
        <v>802</v>
      </c>
      <c r="O84" s="8" t="n">
        <v>1450</v>
      </c>
      <c r="P84" s="8" t="n">
        <v>203</v>
      </c>
      <c r="Q84" s="8" t="s">
        <v>44</v>
      </c>
    </row>
    <row r="85" customFormat="false" ht="39.75" hidden="false" customHeight="true" outlineLevel="0" collapsed="false">
      <c r="A85" s="9" t="s">
        <v>77</v>
      </c>
      <c r="B85" s="9" t="n">
        <v>8</v>
      </c>
      <c r="C85" s="9" t="s">
        <v>798</v>
      </c>
      <c r="D85" s="9" t="s">
        <v>28</v>
      </c>
      <c r="E85" s="9" t="s">
        <v>875</v>
      </c>
      <c r="F85" s="9" t="n">
        <v>26</v>
      </c>
      <c r="G85" s="9" t="n">
        <v>2017</v>
      </c>
      <c r="H85" s="9" t="s">
        <v>754</v>
      </c>
      <c r="I85" s="9" t="s">
        <v>73</v>
      </c>
      <c r="J85" s="9" t="s">
        <v>79</v>
      </c>
      <c r="K85" s="9" t="s">
        <v>876</v>
      </c>
      <c r="L85" s="9" t="s">
        <v>44</v>
      </c>
      <c r="M85" s="9" t="s">
        <v>877</v>
      </c>
      <c r="N85" s="4" t="s">
        <v>802</v>
      </c>
      <c r="O85" s="8" t="n">
        <v>2830</v>
      </c>
      <c r="P85" s="8" t="n">
        <v>396.2</v>
      </c>
      <c r="Q85" s="8" t="s">
        <v>44</v>
      </c>
    </row>
    <row r="86" customFormat="false" ht="39.75" hidden="false" customHeight="true" outlineLevel="0" collapsed="false">
      <c r="A86" s="9" t="s">
        <v>77</v>
      </c>
      <c r="B86" s="9" t="n">
        <v>8</v>
      </c>
      <c r="C86" s="9" t="s">
        <v>798</v>
      </c>
      <c r="D86" s="9" t="s">
        <v>28</v>
      </c>
      <c r="E86" s="9" t="s">
        <v>878</v>
      </c>
      <c r="F86" s="9" t="n">
        <v>27</v>
      </c>
      <c r="G86" s="9" t="n">
        <v>2018</v>
      </c>
      <c r="H86" s="9" t="s">
        <v>754</v>
      </c>
      <c r="I86" s="9" t="s">
        <v>73</v>
      </c>
      <c r="J86" s="9" t="s">
        <v>79</v>
      </c>
      <c r="K86" s="9" t="s">
        <v>879</v>
      </c>
      <c r="L86" s="9" t="s">
        <v>873</v>
      </c>
      <c r="M86" s="9" t="s">
        <v>880</v>
      </c>
      <c r="N86" s="4" t="s">
        <v>802</v>
      </c>
      <c r="O86" s="8" t="n">
        <v>1170</v>
      </c>
      <c r="P86" s="8" t="n">
        <v>163.8</v>
      </c>
      <c r="Q86" s="8" t="s">
        <v>44</v>
      </c>
    </row>
    <row r="87" customFormat="false" ht="39.75" hidden="false" customHeight="true" outlineLevel="0" collapsed="false">
      <c r="A87" s="9" t="s">
        <v>77</v>
      </c>
      <c r="B87" s="9" t="n">
        <v>8</v>
      </c>
      <c r="C87" s="9" t="s">
        <v>798</v>
      </c>
      <c r="D87" s="9" t="s">
        <v>28</v>
      </c>
      <c r="E87" s="9" t="s">
        <v>881</v>
      </c>
      <c r="F87" s="9" t="n">
        <v>28</v>
      </c>
      <c r="G87" s="9" t="n">
        <v>2018</v>
      </c>
      <c r="H87" s="9" t="s">
        <v>754</v>
      </c>
      <c r="I87" s="9" t="s">
        <v>73</v>
      </c>
      <c r="J87" s="9" t="s">
        <v>79</v>
      </c>
      <c r="K87" s="9" t="s">
        <v>882</v>
      </c>
      <c r="L87" s="9" t="s">
        <v>873</v>
      </c>
      <c r="M87" s="9" t="s">
        <v>883</v>
      </c>
      <c r="N87" s="4" t="s">
        <v>802</v>
      </c>
      <c r="O87" s="9" t="s">
        <v>17</v>
      </c>
      <c r="P87" s="9" t="s">
        <v>17</v>
      </c>
      <c r="Q87" s="8" t="s">
        <v>44</v>
      </c>
    </row>
    <row r="88" customFormat="false" ht="39.75" hidden="false" customHeight="true" outlineLevel="0" collapsed="false">
      <c r="A88" s="9" t="s">
        <v>77</v>
      </c>
      <c r="B88" s="9" t="n">
        <v>8</v>
      </c>
      <c r="C88" s="9" t="s">
        <v>798</v>
      </c>
      <c r="D88" s="9" t="s">
        <v>28</v>
      </c>
      <c r="E88" s="9" t="s">
        <v>884</v>
      </c>
      <c r="F88" s="9" t="n">
        <v>29</v>
      </c>
      <c r="G88" s="9" t="n">
        <v>2019</v>
      </c>
      <c r="H88" s="9" t="s">
        <v>754</v>
      </c>
      <c r="I88" s="9" t="s">
        <v>73</v>
      </c>
      <c r="J88" s="9" t="s">
        <v>79</v>
      </c>
      <c r="K88" s="9" t="s">
        <v>885</v>
      </c>
      <c r="L88" s="9" t="s">
        <v>886</v>
      </c>
      <c r="M88" s="9" t="s">
        <v>887</v>
      </c>
      <c r="N88" s="4" t="s">
        <v>802</v>
      </c>
      <c r="O88" s="8" t="n">
        <v>150</v>
      </c>
      <c r="P88" s="8" t="n">
        <v>21</v>
      </c>
      <c r="Q88" s="8" t="s">
        <v>44</v>
      </c>
    </row>
    <row r="89" customFormat="false" ht="39.75" hidden="false" customHeight="true" outlineLevel="0" collapsed="false">
      <c r="A89" s="9" t="s">
        <v>77</v>
      </c>
      <c r="B89" s="9" t="n">
        <v>8</v>
      </c>
      <c r="C89" s="9" t="s">
        <v>798</v>
      </c>
      <c r="D89" s="9" t="s">
        <v>28</v>
      </c>
      <c r="E89" s="9" t="s">
        <v>888</v>
      </c>
      <c r="F89" s="9" t="n">
        <v>30</v>
      </c>
      <c r="G89" s="9" t="n">
        <v>2014</v>
      </c>
      <c r="H89" s="9" t="s">
        <v>754</v>
      </c>
      <c r="I89" s="9" t="s">
        <v>73</v>
      </c>
      <c r="J89" s="9" t="s">
        <v>889</v>
      </c>
      <c r="K89" s="9" t="s">
        <v>890</v>
      </c>
      <c r="L89" s="9" t="s">
        <v>286</v>
      </c>
      <c r="M89" s="9" t="s">
        <v>891</v>
      </c>
      <c r="N89" s="4" t="s">
        <v>802</v>
      </c>
      <c r="O89" s="8" t="n">
        <v>2031</v>
      </c>
      <c r="P89" s="8" t="n">
        <v>284.34</v>
      </c>
      <c r="Q89" s="8" t="s">
        <v>286</v>
      </c>
    </row>
    <row r="90" customFormat="false" ht="39.75" hidden="false" customHeight="true" outlineLevel="0" collapsed="false">
      <c r="A90" s="9" t="s">
        <v>77</v>
      </c>
      <c r="B90" s="9" t="n">
        <v>8</v>
      </c>
      <c r="C90" s="9" t="s">
        <v>798</v>
      </c>
      <c r="D90" s="9" t="s">
        <v>28</v>
      </c>
      <c r="E90" s="9" t="s">
        <v>892</v>
      </c>
      <c r="F90" s="9" t="n">
        <v>31</v>
      </c>
      <c r="G90" s="9" t="n">
        <v>2015</v>
      </c>
      <c r="H90" s="9" t="s">
        <v>754</v>
      </c>
      <c r="I90" s="9" t="s">
        <v>73</v>
      </c>
      <c r="J90" s="9" t="s">
        <v>79</v>
      </c>
      <c r="K90" s="9" t="s">
        <v>840</v>
      </c>
      <c r="L90" s="9" t="s">
        <v>286</v>
      </c>
      <c r="M90" s="9" t="s">
        <v>893</v>
      </c>
      <c r="N90" s="4" t="s">
        <v>802</v>
      </c>
      <c r="O90" s="8" t="n">
        <v>500</v>
      </c>
      <c r="P90" s="8" t="n">
        <v>70</v>
      </c>
      <c r="Q90" s="8" t="s">
        <v>286</v>
      </c>
    </row>
    <row r="91" customFormat="false" ht="39.75" hidden="false" customHeight="true" outlineLevel="0" collapsed="false">
      <c r="A91" s="9" t="s">
        <v>77</v>
      </c>
      <c r="B91" s="9" t="n">
        <v>8</v>
      </c>
      <c r="C91" s="9" t="s">
        <v>798</v>
      </c>
      <c r="D91" s="9" t="s">
        <v>28</v>
      </c>
      <c r="E91" s="9" t="s">
        <v>894</v>
      </c>
      <c r="F91" s="9" t="n">
        <v>32</v>
      </c>
      <c r="G91" s="9" t="n">
        <v>2015</v>
      </c>
      <c r="H91" s="9" t="s">
        <v>754</v>
      </c>
      <c r="I91" s="9" t="s">
        <v>73</v>
      </c>
      <c r="J91" s="9" t="s">
        <v>79</v>
      </c>
      <c r="K91" s="9" t="s">
        <v>895</v>
      </c>
      <c r="L91" s="9" t="s">
        <v>286</v>
      </c>
      <c r="M91" s="9" t="s">
        <v>896</v>
      </c>
      <c r="N91" s="4" t="s">
        <v>802</v>
      </c>
      <c r="O91" s="8" t="n">
        <v>1083</v>
      </c>
      <c r="P91" s="8" t="n">
        <v>151.62</v>
      </c>
      <c r="Q91" s="8" t="s">
        <v>286</v>
      </c>
    </row>
    <row r="92" customFormat="false" ht="39.75" hidden="false" customHeight="true" outlineLevel="0" collapsed="false">
      <c r="A92" s="9" t="s">
        <v>77</v>
      </c>
      <c r="B92" s="9" t="n">
        <v>8</v>
      </c>
      <c r="C92" s="9" t="s">
        <v>798</v>
      </c>
      <c r="D92" s="9" t="s">
        <v>28</v>
      </c>
      <c r="E92" s="9" t="s">
        <v>897</v>
      </c>
      <c r="F92" s="9" t="n">
        <v>33</v>
      </c>
      <c r="G92" s="9" t="n">
        <v>2015</v>
      </c>
      <c r="H92" s="9" t="s">
        <v>754</v>
      </c>
      <c r="I92" s="9" t="s">
        <v>73</v>
      </c>
      <c r="J92" s="9" t="s">
        <v>889</v>
      </c>
      <c r="K92" s="9" t="s">
        <v>898</v>
      </c>
      <c r="L92" s="9" t="s">
        <v>286</v>
      </c>
      <c r="M92" s="9" t="s">
        <v>899</v>
      </c>
      <c r="N92" s="4" t="s">
        <v>802</v>
      </c>
      <c r="O92" s="8" t="n">
        <v>1800</v>
      </c>
      <c r="P92" s="8" t="n">
        <v>252</v>
      </c>
      <c r="Q92" s="8" t="s">
        <v>286</v>
      </c>
    </row>
    <row r="93" customFormat="false" ht="39.75" hidden="false" customHeight="true" outlineLevel="0" collapsed="false">
      <c r="A93" s="9" t="s">
        <v>77</v>
      </c>
      <c r="B93" s="9" t="n">
        <v>8</v>
      </c>
      <c r="C93" s="9" t="s">
        <v>798</v>
      </c>
      <c r="D93" s="9" t="s">
        <v>28</v>
      </c>
      <c r="E93" s="9" t="s">
        <v>900</v>
      </c>
      <c r="F93" s="9" t="n">
        <v>34</v>
      </c>
      <c r="G93" s="9" t="n">
        <v>2017</v>
      </c>
      <c r="H93" s="9" t="s">
        <v>754</v>
      </c>
      <c r="I93" s="9" t="s">
        <v>73</v>
      </c>
      <c r="J93" s="9" t="s">
        <v>79</v>
      </c>
      <c r="K93" s="9" t="s">
        <v>901</v>
      </c>
      <c r="L93" s="9" t="s">
        <v>286</v>
      </c>
      <c r="M93" s="9" t="s">
        <v>902</v>
      </c>
      <c r="N93" s="4" t="s">
        <v>802</v>
      </c>
      <c r="O93" s="8" t="n">
        <v>680</v>
      </c>
      <c r="P93" s="8" t="n">
        <v>95.2</v>
      </c>
      <c r="Q93" s="8" t="s">
        <v>286</v>
      </c>
    </row>
    <row r="94" customFormat="false" ht="39.75" hidden="false" customHeight="true" outlineLevel="0" collapsed="false">
      <c r="A94" s="9" t="s">
        <v>77</v>
      </c>
      <c r="B94" s="9" t="n">
        <v>8</v>
      </c>
      <c r="C94" s="9" t="s">
        <v>798</v>
      </c>
      <c r="D94" s="9" t="s">
        <v>28</v>
      </c>
      <c r="E94" s="9" t="s">
        <v>903</v>
      </c>
      <c r="F94" s="9" t="n">
        <v>35</v>
      </c>
      <c r="G94" s="9" t="n">
        <v>2018</v>
      </c>
      <c r="H94" s="9" t="s">
        <v>754</v>
      </c>
      <c r="I94" s="9" t="s">
        <v>73</v>
      </c>
      <c r="J94" s="9" t="s">
        <v>79</v>
      </c>
      <c r="K94" s="9" t="s">
        <v>904</v>
      </c>
      <c r="L94" s="9" t="s">
        <v>286</v>
      </c>
      <c r="M94" s="9" t="s">
        <v>905</v>
      </c>
      <c r="N94" s="4" t="s">
        <v>802</v>
      </c>
      <c r="O94" s="8" t="n">
        <v>969</v>
      </c>
      <c r="P94" s="8" t="n">
        <v>135.66</v>
      </c>
      <c r="Q94" s="8" t="s">
        <v>286</v>
      </c>
    </row>
    <row r="95" customFormat="false" ht="39.75" hidden="false" customHeight="true" outlineLevel="0" collapsed="false">
      <c r="A95" s="9" t="s">
        <v>77</v>
      </c>
      <c r="B95" s="9" t="n">
        <v>8</v>
      </c>
      <c r="C95" s="9" t="s">
        <v>798</v>
      </c>
      <c r="D95" s="9" t="s">
        <v>28</v>
      </c>
      <c r="E95" s="9" t="s">
        <v>903</v>
      </c>
      <c r="F95" s="9" t="n">
        <v>36</v>
      </c>
      <c r="G95" s="9" t="n">
        <v>2018</v>
      </c>
      <c r="H95" s="9" t="s">
        <v>754</v>
      </c>
      <c r="I95" s="9" t="s">
        <v>73</v>
      </c>
      <c r="J95" s="9" t="s">
        <v>79</v>
      </c>
      <c r="K95" s="9" t="s">
        <v>906</v>
      </c>
      <c r="L95" s="9" t="s">
        <v>286</v>
      </c>
      <c r="M95" s="9" t="s">
        <v>907</v>
      </c>
      <c r="N95" s="4" t="s">
        <v>802</v>
      </c>
      <c r="O95" s="8" t="n">
        <v>640</v>
      </c>
      <c r="P95" s="8" t="n">
        <v>89.6</v>
      </c>
      <c r="Q95" s="8" t="s">
        <v>286</v>
      </c>
    </row>
    <row r="96" customFormat="false" ht="39.75" hidden="false" customHeight="true" outlineLevel="0" collapsed="false">
      <c r="A96" s="9" t="s">
        <v>77</v>
      </c>
      <c r="B96" s="9" t="n">
        <v>8</v>
      </c>
      <c r="C96" s="9" t="s">
        <v>798</v>
      </c>
      <c r="D96" s="9" t="s">
        <v>28</v>
      </c>
      <c r="E96" s="9" t="s">
        <v>908</v>
      </c>
      <c r="F96" s="9" t="n">
        <v>37</v>
      </c>
      <c r="G96" s="9" t="n">
        <v>2018</v>
      </c>
      <c r="H96" s="9" t="s">
        <v>754</v>
      </c>
      <c r="I96" s="9" t="s">
        <v>73</v>
      </c>
      <c r="J96" s="9" t="s">
        <v>79</v>
      </c>
      <c r="K96" s="9" t="s">
        <v>909</v>
      </c>
      <c r="L96" s="9" t="s">
        <v>286</v>
      </c>
      <c r="M96" s="9" t="s">
        <v>910</v>
      </c>
      <c r="N96" s="4" t="s">
        <v>802</v>
      </c>
      <c r="O96" s="8" t="n">
        <v>2900</v>
      </c>
      <c r="P96" s="8" t="n">
        <v>406</v>
      </c>
      <c r="Q96" s="8" t="s">
        <v>286</v>
      </c>
    </row>
    <row r="97" customFormat="false" ht="39.75" hidden="false" customHeight="true" outlineLevel="0" collapsed="false">
      <c r="A97" s="9" t="s">
        <v>823</v>
      </c>
      <c r="B97" s="9" t="n">
        <v>8</v>
      </c>
      <c r="C97" s="9" t="s">
        <v>798</v>
      </c>
      <c r="D97" s="9" t="s">
        <v>28</v>
      </c>
      <c r="E97" s="9" t="s">
        <v>911</v>
      </c>
      <c r="F97" s="9" t="n">
        <v>38</v>
      </c>
      <c r="G97" s="9" t="n">
        <v>2018</v>
      </c>
      <c r="H97" s="9" t="s">
        <v>754</v>
      </c>
      <c r="I97" s="9" t="s">
        <v>73</v>
      </c>
      <c r="J97" s="9" t="s">
        <v>889</v>
      </c>
      <c r="K97" s="9" t="s">
        <v>912</v>
      </c>
      <c r="L97" s="9" t="s">
        <v>286</v>
      </c>
      <c r="M97" s="9" t="s">
        <v>913</v>
      </c>
      <c r="N97" s="4" t="s">
        <v>802</v>
      </c>
      <c r="O97" s="8" t="n">
        <v>949</v>
      </c>
      <c r="P97" s="8" t="n">
        <v>132.86</v>
      </c>
      <c r="Q97" s="8" t="s">
        <v>286</v>
      </c>
    </row>
    <row r="98" customFormat="false" ht="39.75" hidden="false" customHeight="true" outlineLevel="0" collapsed="false">
      <c r="A98" s="9" t="s">
        <v>77</v>
      </c>
      <c r="B98" s="9" t="n">
        <v>8</v>
      </c>
      <c r="C98" s="9" t="s">
        <v>798</v>
      </c>
      <c r="D98" s="9" t="s">
        <v>28</v>
      </c>
      <c r="E98" s="9" t="s">
        <v>914</v>
      </c>
      <c r="F98" s="9" t="n">
        <v>39</v>
      </c>
      <c r="G98" s="9" t="n">
        <v>2015</v>
      </c>
      <c r="H98" s="9" t="s">
        <v>754</v>
      </c>
      <c r="I98" s="9" t="s">
        <v>73</v>
      </c>
      <c r="J98" s="9" t="s">
        <v>79</v>
      </c>
      <c r="K98" s="9" t="s">
        <v>840</v>
      </c>
      <c r="L98" s="9" t="s">
        <v>110</v>
      </c>
      <c r="M98" s="9" t="s">
        <v>915</v>
      </c>
      <c r="N98" s="4" t="s">
        <v>802</v>
      </c>
      <c r="O98" s="8" t="n">
        <v>500</v>
      </c>
      <c r="P98" s="8" t="n">
        <v>70</v>
      </c>
      <c r="Q98" s="8" t="s">
        <v>110</v>
      </c>
    </row>
    <row r="99" customFormat="false" ht="39.75" hidden="false" customHeight="true" outlineLevel="0" collapsed="false">
      <c r="A99" s="9" t="s">
        <v>77</v>
      </c>
      <c r="B99" s="9" t="n">
        <v>8</v>
      </c>
      <c r="C99" s="9" t="s">
        <v>798</v>
      </c>
      <c r="D99" s="9" t="s">
        <v>28</v>
      </c>
      <c r="E99" s="9" t="s">
        <v>916</v>
      </c>
      <c r="F99" s="9" t="n">
        <v>40</v>
      </c>
      <c r="G99" s="9" t="n">
        <v>2016</v>
      </c>
      <c r="H99" s="9" t="s">
        <v>754</v>
      </c>
      <c r="I99" s="9" t="s">
        <v>73</v>
      </c>
      <c r="J99" s="9" t="s">
        <v>79</v>
      </c>
      <c r="K99" s="9" t="s">
        <v>917</v>
      </c>
      <c r="L99" s="9" t="s">
        <v>110</v>
      </c>
      <c r="M99" s="9" t="s">
        <v>918</v>
      </c>
      <c r="N99" s="4" t="s">
        <v>802</v>
      </c>
      <c r="O99" s="8" t="n">
        <v>309</v>
      </c>
      <c r="P99" s="8" t="n">
        <v>43.26</v>
      </c>
      <c r="Q99" s="8" t="s">
        <v>110</v>
      </c>
    </row>
    <row r="100" customFormat="false" ht="39.75" hidden="false" customHeight="true" outlineLevel="0" collapsed="false">
      <c r="A100" s="9" t="s">
        <v>77</v>
      </c>
      <c r="B100" s="9" t="n">
        <v>8</v>
      </c>
      <c r="C100" s="9" t="s">
        <v>798</v>
      </c>
      <c r="D100" s="9" t="s">
        <v>28</v>
      </c>
      <c r="E100" s="9" t="s">
        <v>919</v>
      </c>
      <c r="F100" s="9" t="n">
        <v>41</v>
      </c>
      <c r="G100" s="9" t="n">
        <v>2016</v>
      </c>
      <c r="H100" s="9" t="s">
        <v>754</v>
      </c>
      <c r="I100" s="9" t="s">
        <v>73</v>
      </c>
      <c r="J100" s="9" t="s">
        <v>79</v>
      </c>
      <c r="K100" s="9" t="s">
        <v>920</v>
      </c>
      <c r="L100" s="9" t="s">
        <v>110</v>
      </c>
      <c r="M100" s="9" t="s">
        <v>921</v>
      </c>
      <c r="N100" s="4" t="s">
        <v>802</v>
      </c>
      <c r="O100" s="8" t="n">
        <v>5</v>
      </c>
      <c r="P100" s="8" t="n">
        <v>0.7</v>
      </c>
      <c r="Q100" s="8" t="s">
        <v>110</v>
      </c>
    </row>
    <row r="101" customFormat="false" ht="39.75" hidden="false" customHeight="true" outlineLevel="0" collapsed="false">
      <c r="A101" s="9" t="s">
        <v>77</v>
      </c>
      <c r="B101" s="9" t="n">
        <v>8</v>
      </c>
      <c r="C101" s="9" t="s">
        <v>798</v>
      </c>
      <c r="D101" s="9" t="s">
        <v>28</v>
      </c>
      <c r="E101" s="9" t="s">
        <v>922</v>
      </c>
      <c r="F101" s="9" t="n">
        <v>42</v>
      </c>
      <c r="G101" s="9" t="n">
        <v>2016</v>
      </c>
      <c r="H101" s="9" t="s">
        <v>754</v>
      </c>
      <c r="I101" s="9" t="s">
        <v>73</v>
      </c>
      <c r="J101" s="9" t="s">
        <v>79</v>
      </c>
      <c r="K101" s="9" t="s">
        <v>923</v>
      </c>
      <c r="L101" s="9" t="s">
        <v>110</v>
      </c>
      <c r="M101" s="9" t="s">
        <v>924</v>
      </c>
      <c r="N101" s="4" t="s">
        <v>802</v>
      </c>
      <c r="O101" s="8" t="n">
        <v>22</v>
      </c>
      <c r="P101" s="8" t="n">
        <v>3.08</v>
      </c>
      <c r="Q101" s="8" t="s">
        <v>110</v>
      </c>
    </row>
    <row r="102" customFormat="false" ht="39.75" hidden="false" customHeight="true" outlineLevel="0" collapsed="false">
      <c r="A102" s="9" t="s">
        <v>77</v>
      </c>
      <c r="B102" s="9" t="n">
        <v>8</v>
      </c>
      <c r="C102" s="9" t="s">
        <v>798</v>
      </c>
      <c r="D102" s="9" t="s">
        <v>28</v>
      </c>
      <c r="E102" s="9" t="s">
        <v>925</v>
      </c>
      <c r="F102" s="9" t="n">
        <v>43</v>
      </c>
      <c r="G102" s="9" t="n">
        <v>2017</v>
      </c>
      <c r="H102" s="9" t="s">
        <v>754</v>
      </c>
      <c r="I102" s="9" t="s">
        <v>73</v>
      </c>
      <c r="J102" s="9" t="s">
        <v>79</v>
      </c>
      <c r="K102" s="9" t="s">
        <v>926</v>
      </c>
      <c r="L102" s="9" t="s">
        <v>110</v>
      </c>
      <c r="M102" s="9" t="s">
        <v>927</v>
      </c>
      <c r="N102" s="4" t="s">
        <v>802</v>
      </c>
      <c r="O102" s="8" t="n">
        <v>550</v>
      </c>
      <c r="P102" s="8" t="n">
        <v>77</v>
      </c>
      <c r="Q102" s="8" t="s">
        <v>110</v>
      </c>
    </row>
    <row r="103" customFormat="false" ht="39.75" hidden="false" customHeight="true" outlineLevel="0" collapsed="false">
      <c r="A103" s="9" t="s">
        <v>77</v>
      </c>
      <c r="B103" s="9" t="n">
        <v>8</v>
      </c>
      <c r="C103" s="9" t="s">
        <v>798</v>
      </c>
      <c r="D103" s="9" t="s">
        <v>28</v>
      </c>
      <c r="E103" s="9" t="s">
        <v>928</v>
      </c>
      <c r="F103" s="9" t="n">
        <v>44</v>
      </c>
      <c r="G103" s="9" t="n">
        <v>2018</v>
      </c>
      <c r="H103" s="9" t="s">
        <v>754</v>
      </c>
      <c r="I103" s="9" t="s">
        <v>73</v>
      </c>
      <c r="J103" s="9" t="s">
        <v>79</v>
      </c>
      <c r="K103" s="9" t="s">
        <v>929</v>
      </c>
      <c r="L103" s="9" t="s">
        <v>110</v>
      </c>
      <c r="M103" s="9" t="s">
        <v>930</v>
      </c>
      <c r="N103" s="4" t="s">
        <v>802</v>
      </c>
      <c r="O103" s="8" t="n">
        <v>30</v>
      </c>
      <c r="P103" s="8" t="n">
        <v>4.2</v>
      </c>
      <c r="Q103" s="8" t="s">
        <v>110</v>
      </c>
    </row>
    <row r="104" customFormat="false" ht="39.75" hidden="false" customHeight="true" outlineLevel="0" collapsed="false">
      <c r="A104" s="9" t="s">
        <v>77</v>
      </c>
      <c r="B104" s="9" t="n">
        <v>8</v>
      </c>
      <c r="C104" s="9" t="s">
        <v>798</v>
      </c>
      <c r="D104" s="9" t="s">
        <v>28</v>
      </c>
      <c r="E104" s="9" t="s">
        <v>931</v>
      </c>
      <c r="F104" s="9" t="n">
        <v>45</v>
      </c>
      <c r="G104" s="9" t="n">
        <v>2014</v>
      </c>
      <c r="H104" s="9" t="s">
        <v>754</v>
      </c>
      <c r="I104" s="9" t="s">
        <v>73</v>
      </c>
      <c r="J104" s="9" t="s">
        <v>79</v>
      </c>
      <c r="K104" s="9" t="s">
        <v>932</v>
      </c>
      <c r="L104" s="9" t="s">
        <v>38</v>
      </c>
      <c r="M104" s="9" t="s">
        <v>933</v>
      </c>
      <c r="N104" s="4" t="s">
        <v>802</v>
      </c>
      <c r="O104" s="8" t="n">
        <v>480</v>
      </c>
      <c r="P104" s="8" t="n">
        <v>67.2</v>
      </c>
      <c r="Q104" s="8" t="s">
        <v>38</v>
      </c>
    </row>
    <row r="105" customFormat="false" ht="39.75" hidden="false" customHeight="true" outlineLevel="0" collapsed="false">
      <c r="A105" s="9" t="s">
        <v>77</v>
      </c>
      <c r="B105" s="9" t="n">
        <v>8</v>
      </c>
      <c r="C105" s="9" t="s">
        <v>798</v>
      </c>
      <c r="D105" s="9" t="s">
        <v>28</v>
      </c>
      <c r="E105" s="9" t="s">
        <v>934</v>
      </c>
      <c r="F105" s="9" t="n">
        <v>46</v>
      </c>
      <c r="G105" s="9" t="n">
        <v>2015</v>
      </c>
      <c r="H105" s="9" t="s">
        <v>754</v>
      </c>
      <c r="I105" s="9" t="s">
        <v>73</v>
      </c>
      <c r="J105" s="9" t="s">
        <v>79</v>
      </c>
      <c r="K105" s="9" t="s">
        <v>935</v>
      </c>
      <c r="L105" s="9" t="s">
        <v>38</v>
      </c>
      <c r="M105" s="9" t="s">
        <v>936</v>
      </c>
      <c r="N105" s="4" t="s">
        <v>802</v>
      </c>
      <c r="O105" s="8" t="n">
        <v>40</v>
      </c>
      <c r="P105" s="8" t="n">
        <v>5.6</v>
      </c>
      <c r="Q105" s="8" t="s">
        <v>38</v>
      </c>
    </row>
    <row r="106" customFormat="false" ht="39.75" hidden="false" customHeight="true" outlineLevel="0" collapsed="false">
      <c r="A106" s="9" t="s">
        <v>77</v>
      </c>
      <c r="B106" s="9" t="n">
        <v>8</v>
      </c>
      <c r="C106" s="9" t="s">
        <v>798</v>
      </c>
      <c r="D106" s="9" t="s">
        <v>28</v>
      </c>
      <c r="E106" s="9" t="s">
        <v>937</v>
      </c>
      <c r="F106" s="9" t="n">
        <v>47</v>
      </c>
      <c r="G106" s="9" t="n">
        <v>2015</v>
      </c>
      <c r="H106" s="9" t="s">
        <v>754</v>
      </c>
      <c r="I106" s="9" t="s">
        <v>73</v>
      </c>
      <c r="J106" s="9" t="s">
        <v>79</v>
      </c>
      <c r="K106" s="9" t="s">
        <v>938</v>
      </c>
      <c r="L106" s="9" t="s">
        <v>38</v>
      </c>
      <c r="M106" s="9" t="s">
        <v>939</v>
      </c>
      <c r="N106" s="4" t="s">
        <v>802</v>
      </c>
      <c r="O106" s="8" t="n">
        <v>165</v>
      </c>
      <c r="P106" s="8" t="n">
        <v>23.1</v>
      </c>
      <c r="Q106" s="8" t="s">
        <v>38</v>
      </c>
    </row>
    <row r="107" customFormat="false" ht="39.75" hidden="false" customHeight="true" outlineLevel="0" collapsed="false">
      <c r="A107" s="9" t="s">
        <v>77</v>
      </c>
      <c r="B107" s="9" t="n">
        <v>8</v>
      </c>
      <c r="C107" s="9" t="s">
        <v>798</v>
      </c>
      <c r="D107" s="9" t="s">
        <v>28</v>
      </c>
      <c r="E107" s="9" t="s">
        <v>940</v>
      </c>
      <c r="F107" s="9" t="n">
        <v>48</v>
      </c>
      <c r="G107" s="9" t="n">
        <v>2015</v>
      </c>
      <c r="H107" s="9" t="s">
        <v>754</v>
      </c>
      <c r="I107" s="9" t="s">
        <v>73</v>
      </c>
      <c r="J107" s="9" t="s">
        <v>79</v>
      </c>
      <c r="K107" s="9" t="s">
        <v>811</v>
      </c>
      <c r="L107" s="9" t="s">
        <v>38</v>
      </c>
      <c r="M107" s="9" t="s">
        <v>941</v>
      </c>
      <c r="N107" s="4" t="s">
        <v>802</v>
      </c>
      <c r="O107" s="8" t="n">
        <v>600</v>
      </c>
      <c r="P107" s="8" t="n">
        <v>84</v>
      </c>
      <c r="Q107" s="8" t="s">
        <v>38</v>
      </c>
    </row>
    <row r="108" customFormat="false" ht="39.75" hidden="false" customHeight="true" outlineLevel="0" collapsed="false">
      <c r="A108" s="9" t="s">
        <v>77</v>
      </c>
      <c r="B108" s="9" t="n">
        <v>8</v>
      </c>
      <c r="C108" s="8" t="s">
        <v>942</v>
      </c>
      <c r="D108" s="9" t="s">
        <v>90</v>
      </c>
      <c r="E108" s="8" t="s">
        <v>814</v>
      </c>
      <c r="F108" s="8" t="n">
        <v>1</v>
      </c>
      <c r="G108" s="8" t="n">
        <v>2021</v>
      </c>
      <c r="H108" s="9" t="s">
        <v>754</v>
      </c>
      <c r="I108" s="8" t="s">
        <v>73</v>
      </c>
      <c r="J108" s="8" t="s">
        <v>79</v>
      </c>
      <c r="K108" s="8" t="s">
        <v>943</v>
      </c>
      <c r="L108" s="8" t="s">
        <v>25</v>
      </c>
      <c r="M108" s="8" t="s">
        <v>944</v>
      </c>
      <c r="N108" s="32" t="s">
        <v>945</v>
      </c>
      <c r="O108" s="8" t="n">
        <v>18000</v>
      </c>
      <c r="P108" s="8" t="n">
        <v>2520</v>
      </c>
      <c r="Q108" s="8" t="s">
        <v>25</v>
      </c>
    </row>
    <row r="109" customFormat="false" ht="39.75" hidden="false" customHeight="true" outlineLevel="0" collapsed="false">
      <c r="A109" s="9" t="s">
        <v>77</v>
      </c>
      <c r="B109" s="9" t="n">
        <v>8</v>
      </c>
      <c r="C109" s="8" t="s">
        <v>942</v>
      </c>
      <c r="D109" s="9" t="s">
        <v>90</v>
      </c>
      <c r="E109" s="8" t="s">
        <v>946</v>
      </c>
      <c r="F109" s="8" t="n">
        <v>2</v>
      </c>
      <c r="G109" s="8" t="n">
        <v>2023</v>
      </c>
      <c r="H109" s="9" t="s">
        <v>754</v>
      </c>
      <c r="I109" s="8" t="s">
        <v>73</v>
      </c>
      <c r="J109" s="8" t="s">
        <v>79</v>
      </c>
      <c r="K109" s="8" t="s">
        <v>947</v>
      </c>
      <c r="L109" s="8" t="s">
        <v>25</v>
      </c>
      <c r="M109" s="8" t="s">
        <v>948</v>
      </c>
      <c r="N109" s="32" t="s">
        <v>945</v>
      </c>
      <c r="O109" s="8" t="n">
        <v>12900</v>
      </c>
      <c r="P109" s="8" t="n">
        <v>1806</v>
      </c>
      <c r="Q109" s="8" t="s">
        <v>25</v>
      </c>
    </row>
    <row r="110" customFormat="false" ht="39.75" hidden="false" customHeight="true" outlineLevel="0" collapsed="false">
      <c r="A110" s="9" t="s">
        <v>77</v>
      </c>
      <c r="B110" s="9" t="n">
        <v>8</v>
      </c>
      <c r="C110" s="8" t="s">
        <v>942</v>
      </c>
      <c r="D110" s="9" t="s">
        <v>90</v>
      </c>
      <c r="E110" s="8" t="s">
        <v>949</v>
      </c>
      <c r="F110" s="8" t="n">
        <v>3</v>
      </c>
      <c r="G110" s="8" t="n">
        <v>2023</v>
      </c>
      <c r="H110" s="9" t="s">
        <v>754</v>
      </c>
      <c r="I110" s="8" t="s">
        <v>73</v>
      </c>
      <c r="J110" s="8" t="s">
        <v>79</v>
      </c>
      <c r="K110" s="8" t="s">
        <v>950</v>
      </c>
      <c r="L110" s="8" t="s">
        <v>25</v>
      </c>
      <c r="M110" s="8" t="s">
        <v>951</v>
      </c>
      <c r="N110" s="32" t="s">
        <v>952</v>
      </c>
      <c r="O110" s="8" t="n">
        <v>14560</v>
      </c>
      <c r="P110" s="8" t="n">
        <v>2038.4</v>
      </c>
      <c r="Q110" s="8" t="s">
        <v>25</v>
      </c>
    </row>
    <row r="111" customFormat="false" ht="39.75" hidden="false" customHeight="true" outlineLevel="0" collapsed="false">
      <c r="A111" s="9" t="s">
        <v>77</v>
      </c>
      <c r="B111" s="9" t="n">
        <v>8</v>
      </c>
      <c r="C111" s="8" t="s">
        <v>942</v>
      </c>
      <c r="D111" s="9" t="s">
        <v>90</v>
      </c>
      <c r="E111" s="8" t="s">
        <v>831</v>
      </c>
      <c r="F111" s="8" t="n">
        <v>4</v>
      </c>
      <c r="G111" s="8" t="n">
        <v>2020</v>
      </c>
      <c r="H111" s="9" t="s">
        <v>754</v>
      </c>
      <c r="I111" s="8" t="s">
        <v>73</v>
      </c>
      <c r="J111" s="8" t="s">
        <v>79</v>
      </c>
      <c r="K111" s="8" t="s">
        <v>953</v>
      </c>
      <c r="L111" s="8" t="s">
        <v>25</v>
      </c>
      <c r="M111" s="8" t="s">
        <v>954</v>
      </c>
      <c r="N111" s="32" t="s">
        <v>955</v>
      </c>
      <c r="O111" s="8" t="n">
        <v>10600</v>
      </c>
      <c r="P111" s="8" t="n">
        <v>1484</v>
      </c>
      <c r="Q111" s="8" t="s">
        <v>25</v>
      </c>
    </row>
    <row r="112" customFormat="false" ht="39.75" hidden="false" customHeight="true" outlineLevel="0" collapsed="false">
      <c r="A112" s="9" t="s">
        <v>77</v>
      </c>
      <c r="B112" s="9" t="n">
        <v>8</v>
      </c>
      <c r="C112" s="8" t="s">
        <v>942</v>
      </c>
      <c r="D112" s="9" t="s">
        <v>90</v>
      </c>
      <c r="E112" s="8" t="s">
        <v>956</v>
      </c>
      <c r="F112" s="8" t="n">
        <v>5</v>
      </c>
      <c r="G112" s="8" t="n">
        <v>2020</v>
      </c>
      <c r="H112" s="9" t="s">
        <v>754</v>
      </c>
      <c r="I112" s="8" t="s">
        <v>73</v>
      </c>
      <c r="J112" s="8" t="s">
        <v>79</v>
      </c>
      <c r="K112" s="8" t="s">
        <v>957</v>
      </c>
      <c r="L112" s="8" t="s">
        <v>25</v>
      </c>
      <c r="M112" s="8" t="s">
        <v>958</v>
      </c>
      <c r="N112" s="32" t="s">
        <v>959</v>
      </c>
      <c r="O112" s="8" t="n">
        <v>8500</v>
      </c>
      <c r="P112" s="8" t="n">
        <v>1190</v>
      </c>
      <c r="Q112" s="8" t="s">
        <v>25</v>
      </c>
    </row>
    <row r="113" customFormat="false" ht="39.75" hidden="false" customHeight="true" outlineLevel="0" collapsed="false">
      <c r="A113" s="9" t="s">
        <v>77</v>
      </c>
      <c r="B113" s="9" t="n">
        <v>8</v>
      </c>
      <c r="C113" s="8" t="s">
        <v>942</v>
      </c>
      <c r="D113" s="9" t="s">
        <v>90</v>
      </c>
      <c r="E113" s="8" t="s">
        <v>960</v>
      </c>
      <c r="F113" s="8" t="n">
        <v>6</v>
      </c>
      <c r="G113" s="8" t="n">
        <v>2021</v>
      </c>
      <c r="H113" s="9" t="s">
        <v>754</v>
      </c>
      <c r="I113" s="8" t="s">
        <v>73</v>
      </c>
      <c r="J113" s="8" t="s">
        <v>79</v>
      </c>
      <c r="K113" s="8" t="s">
        <v>961</v>
      </c>
      <c r="L113" s="8" t="s">
        <v>25</v>
      </c>
      <c r="M113" s="8" t="s">
        <v>962</v>
      </c>
      <c r="N113" s="32" t="s">
        <v>963</v>
      </c>
      <c r="O113" s="8" t="n">
        <v>5700</v>
      </c>
      <c r="P113" s="8" t="n">
        <v>798</v>
      </c>
      <c r="Q113" s="8" t="s">
        <v>25</v>
      </c>
    </row>
    <row r="114" customFormat="false" ht="39.75" hidden="false" customHeight="true" outlineLevel="0" collapsed="false">
      <c r="A114" s="9" t="s">
        <v>77</v>
      </c>
      <c r="B114" s="9" t="n">
        <v>8</v>
      </c>
      <c r="C114" s="8" t="s">
        <v>942</v>
      </c>
      <c r="D114" s="9" t="s">
        <v>90</v>
      </c>
      <c r="E114" s="8" t="s">
        <v>836</v>
      </c>
      <c r="F114" s="8" t="n">
        <v>7</v>
      </c>
      <c r="G114" s="8" t="n">
        <v>2022</v>
      </c>
      <c r="H114" s="9" t="s">
        <v>754</v>
      </c>
      <c r="I114" s="8" t="s">
        <v>73</v>
      </c>
      <c r="J114" s="8" t="s">
        <v>79</v>
      </c>
      <c r="K114" s="8" t="s">
        <v>807</v>
      </c>
      <c r="L114" s="8" t="s">
        <v>25</v>
      </c>
      <c r="M114" s="8" t="s">
        <v>964</v>
      </c>
      <c r="N114" s="32" t="s">
        <v>965</v>
      </c>
      <c r="O114" s="8" t="n">
        <v>1600</v>
      </c>
      <c r="P114" s="8" t="n">
        <v>224</v>
      </c>
      <c r="Q114" s="8" t="s">
        <v>25</v>
      </c>
    </row>
    <row r="115" customFormat="false" ht="39.75" hidden="false" customHeight="true" outlineLevel="0" collapsed="false">
      <c r="A115" s="9" t="s">
        <v>77</v>
      </c>
      <c r="B115" s="9" t="n">
        <v>8</v>
      </c>
      <c r="C115" s="8" t="s">
        <v>942</v>
      </c>
      <c r="D115" s="9" t="s">
        <v>90</v>
      </c>
      <c r="E115" s="8" t="s">
        <v>966</v>
      </c>
      <c r="F115" s="8" t="n">
        <v>8</v>
      </c>
      <c r="G115" s="8" t="n">
        <v>2023</v>
      </c>
      <c r="H115" s="9" t="s">
        <v>754</v>
      </c>
      <c r="I115" s="8" t="s">
        <v>73</v>
      </c>
      <c r="J115" s="8" t="s">
        <v>79</v>
      </c>
      <c r="K115" s="8" t="s">
        <v>967</v>
      </c>
      <c r="L115" s="8" t="s">
        <v>25</v>
      </c>
      <c r="M115" s="8" t="s">
        <v>968</v>
      </c>
      <c r="N115" s="32" t="s">
        <v>969</v>
      </c>
      <c r="O115" s="8" t="n">
        <v>7000</v>
      </c>
      <c r="P115" s="8" t="n">
        <v>980</v>
      </c>
      <c r="Q115" s="8" t="s">
        <v>25</v>
      </c>
    </row>
    <row r="116" customFormat="false" ht="39.75" hidden="false" customHeight="true" outlineLevel="0" collapsed="false">
      <c r="A116" s="9" t="s">
        <v>77</v>
      </c>
      <c r="B116" s="9" t="n">
        <v>8</v>
      </c>
      <c r="C116" s="8" t="s">
        <v>942</v>
      </c>
      <c r="D116" s="9" t="s">
        <v>90</v>
      </c>
      <c r="E116" s="8" t="s">
        <v>970</v>
      </c>
      <c r="F116" s="8" t="n">
        <v>9</v>
      </c>
      <c r="G116" s="8" t="n">
        <v>2023</v>
      </c>
      <c r="H116" s="9" t="s">
        <v>754</v>
      </c>
      <c r="I116" s="8" t="s">
        <v>73</v>
      </c>
      <c r="J116" s="8" t="s">
        <v>79</v>
      </c>
      <c r="K116" s="8" t="s">
        <v>971</v>
      </c>
      <c r="L116" s="8" t="s">
        <v>25</v>
      </c>
      <c r="M116" s="8" t="s">
        <v>972</v>
      </c>
      <c r="N116" s="32" t="s">
        <v>973</v>
      </c>
      <c r="O116" s="8" t="n">
        <v>3600</v>
      </c>
      <c r="P116" s="8" t="n">
        <v>504</v>
      </c>
      <c r="Q116" s="8" t="s">
        <v>25</v>
      </c>
    </row>
    <row r="117" customFormat="false" ht="39.75" hidden="false" customHeight="true" outlineLevel="0" collapsed="false">
      <c r="A117" s="9" t="s">
        <v>77</v>
      </c>
      <c r="B117" s="9" t="n">
        <v>8</v>
      </c>
      <c r="C117" s="8" t="s">
        <v>942</v>
      </c>
      <c r="D117" s="9" t="s">
        <v>90</v>
      </c>
      <c r="E117" s="8" t="s">
        <v>974</v>
      </c>
      <c r="F117" s="8" t="n">
        <v>10</v>
      </c>
      <c r="G117" s="8" t="n">
        <v>2024</v>
      </c>
      <c r="H117" s="9" t="s">
        <v>754</v>
      </c>
      <c r="I117" s="8" t="s">
        <v>73</v>
      </c>
      <c r="J117" s="8" t="s">
        <v>79</v>
      </c>
      <c r="K117" s="8" t="s">
        <v>975</v>
      </c>
      <c r="L117" s="8" t="s">
        <v>25</v>
      </c>
      <c r="M117" s="8" t="s">
        <v>976</v>
      </c>
      <c r="N117" s="32" t="s">
        <v>977</v>
      </c>
      <c r="O117" s="8" t="n">
        <v>2155</v>
      </c>
      <c r="P117" s="8" t="n">
        <v>301.7</v>
      </c>
      <c r="Q117" s="8" t="s">
        <v>25</v>
      </c>
    </row>
    <row r="118" customFormat="false" ht="39.75" hidden="false" customHeight="true" outlineLevel="0" collapsed="false">
      <c r="A118" s="9" t="s">
        <v>77</v>
      </c>
      <c r="B118" s="9" t="n">
        <v>8</v>
      </c>
      <c r="C118" s="8" t="s">
        <v>942</v>
      </c>
      <c r="D118" s="9" t="s">
        <v>90</v>
      </c>
      <c r="E118" s="8" t="s">
        <v>978</v>
      </c>
      <c r="F118" s="8" t="n">
        <v>11</v>
      </c>
      <c r="G118" s="8" t="n">
        <v>2020</v>
      </c>
      <c r="H118" s="9" t="s">
        <v>754</v>
      </c>
      <c r="I118" s="8" t="s">
        <v>73</v>
      </c>
      <c r="J118" s="8" t="s">
        <v>79</v>
      </c>
      <c r="K118" s="8" t="s">
        <v>979</v>
      </c>
      <c r="L118" s="8" t="s">
        <v>25</v>
      </c>
      <c r="M118" s="8" t="s">
        <v>980</v>
      </c>
      <c r="N118" s="32" t="s">
        <v>981</v>
      </c>
      <c r="O118" s="8" t="n">
        <v>2950</v>
      </c>
      <c r="P118" s="8" t="n">
        <v>413</v>
      </c>
      <c r="Q118" s="8" t="s">
        <v>25</v>
      </c>
    </row>
    <row r="119" customFormat="false" ht="39.75" hidden="false" customHeight="true" outlineLevel="0" collapsed="false">
      <c r="A119" s="9" t="s">
        <v>77</v>
      </c>
      <c r="B119" s="9" t="n">
        <v>8</v>
      </c>
      <c r="C119" s="8" t="s">
        <v>942</v>
      </c>
      <c r="D119" s="9" t="s">
        <v>90</v>
      </c>
      <c r="E119" s="8" t="s">
        <v>982</v>
      </c>
      <c r="F119" s="8" t="n">
        <v>12</v>
      </c>
      <c r="G119" s="8" t="n">
        <v>2021</v>
      </c>
      <c r="H119" s="9" t="s">
        <v>754</v>
      </c>
      <c r="I119" s="8" t="s">
        <v>73</v>
      </c>
      <c r="J119" s="8" t="s">
        <v>79</v>
      </c>
      <c r="K119" s="8" t="s">
        <v>983</v>
      </c>
      <c r="L119" s="8" t="s">
        <v>984</v>
      </c>
      <c r="M119" s="8" t="s">
        <v>985</v>
      </c>
      <c r="N119" s="32" t="s">
        <v>986</v>
      </c>
      <c r="O119" s="8" t="n">
        <v>2500</v>
      </c>
      <c r="P119" s="8" t="n">
        <v>350</v>
      </c>
      <c r="Q119" s="8" t="s">
        <v>119</v>
      </c>
    </row>
    <row r="120" customFormat="false" ht="39.75" hidden="false" customHeight="true" outlineLevel="0" collapsed="false">
      <c r="A120" s="9" t="s">
        <v>77</v>
      </c>
      <c r="B120" s="9" t="n">
        <v>8</v>
      </c>
      <c r="C120" s="8" t="s">
        <v>942</v>
      </c>
      <c r="D120" s="9" t="s">
        <v>90</v>
      </c>
      <c r="E120" s="8" t="s">
        <v>987</v>
      </c>
      <c r="F120" s="8" t="n">
        <v>13</v>
      </c>
      <c r="G120" s="8" t="n">
        <v>2021</v>
      </c>
      <c r="H120" s="9" t="s">
        <v>754</v>
      </c>
      <c r="I120" s="8" t="s">
        <v>73</v>
      </c>
      <c r="J120" s="8" t="s">
        <v>79</v>
      </c>
      <c r="K120" s="8" t="s">
        <v>859</v>
      </c>
      <c r="L120" s="8" t="s">
        <v>38</v>
      </c>
      <c r="M120" s="8" t="s">
        <v>988</v>
      </c>
      <c r="N120" s="32" t="s">
        <v>989</v>
      </c>
      <c r="O120" s="8" t="n">
        <v>1500</v>
      </c>
      <c r="P120" s="8" t="n">
        <v>210</v>
      </c>
      <c r="Q120" s="8" t="s">
        <v>38</v>
      </c>
    </row>
    <row r="121" customFormat="false" ht="39.75" hidden="false" customHeight="true" outlineLevel="0" collapsed="false">
      <c r="A121" s="9" t="s">
        <v>77</v>
      </c>
      <c r="B121" s="9" t="n">
        <v>8</v>
      </c>
      <c r="C121" s="8" t="s">
        <v>942</v>
      </c>
      <c r="D121" s="9" t="s">
        <v>90</v>
      </c>
      <c r="E121" s="8" t="s">
        <v>990</v>
      </c>
      <c r="F121" s="8" t="n">
        <v>14</v>
      </c>
      <c r="G121" s="8" t="n">
        <v>2022</v>
      </c>
      <c r="H121" s="9" t="s">
        <v>754</v>
      </c>
      <c r="I121" s="8" t="s">
        <v>73</v>
      </c>
      <c r="J121" s="8" t="s">
        <v>79</v>
      </c>
      <c r="K121" s="8" t="s">
        <v>811</v>
      </c>
      <c r="L121" s="8" t="s">
        <v>25</v>
      </c>
      <c r="M121" s="8" t="s">
        <v>991</v>
      </c>
      <c r="N121" s="32" t="s">
        <v>992</v>
      </c>
      <c r="O121" s="8" t="n">
        <v>600</v>
      </c>
      <c r="P121" s="8" t="n">
        <v>84</v>
      </c>
      <c r="Q121" s="8" t="s">
        <v>25</v>
      </c>
    </row>
    <row r="122" customFormat="false" ht="39.75" hidden="false" customHeight="true" outlineLevel="0" collapsed="false">
      <c r="A122" s="9" t="s">
        <v>77</v>
      </c>
      <c r="B122" s="9" t="n">
        <v>8</v>
      </c>
      <c r="C122" s="8" t="s">
        <v>942</v>
      </c>
      <c r="D122" s="9" t="s">
        <v>90</v>
      </c>
      <c r="E122" s="8" t="s">
        <v>993</v>
      </c>
      <c r="F122" s="8" t="n">
        <v>15</v>
      </c>
      <c r="G122" s="8" t="n">
        <v>2024</v>
      </c>
      <c r="H122" s="9" t="s">
        <v>754</v>
      </c>
      <c r="I122" s="8" t="s">
        <v>73</v>
      </c>
      <c r="J122" s="8" t="s">
        <v>79</v>
      </c>
      <c r="K122" s="8" t="s">
        <v>994</v>
      </c>
      <c r="L122" s="8" t="s">
        <v>812</v>
      </c>
      <c r="M122" s="8" t="s">
        <v>995</v>
      </c>
      <c r="N122" s="32" t="s">
        <v>996</v>
      </c>
      <c r="O122" s="8" t="n">
        <v>350</v>
      </c>
      <c r="P122" s="8" t="n">
        <v>49</v>
      </c>
      <c r="Q122" s="8" t="s">
        <v>25</v>
      </c>
    </row>
    <row r="123" customFormat="false" ht="39.75" hidden="false" customHeight="true" outlineLevel="0" collapsed="false">
      <c r="A123" s="9" t="s">
        <v>77</v>
      </c>
      <c r="B123" s="9" t="n">
        <v>8</v>
      </c>
      <c r="C123" s="8" t="s">
        <v>942</v>
      </c>
      <c r="D123" s="9" t="s">
        <v>90</v>
      </c>
      <c r="E123" s="8" t="s">
        <v>997</v>
      </c>
      <c r="F123" s="8" t="n">
        <v>16</v>
      </c>
      <c r="G123" s="8" t="n">
        <v>2021</v>
      </c>
      <c r="H123" s="9" t="s">
        <v>754</v>
      </c>
      <c r="I123" s="8" t="s">
        <v>73</v>
      </c>
      <c r="J123" s="8" t="s">
        <v>79</v>
      </c>
      <c r="K123" s="8" t="s">
        <v>998</v>
      </c>
      <c r="L123" s="8" t="s">
        <v>812</v>
      </c>
      <c r="M123" s="8" t="s">
        <v>999</v>
      </c>
      <c r="N123" s="32" t="s">
        <v>1000</v>
      </c>
      <c r="O123" s="8" t="n">
        <v>1650</v>
      </c>
      <c r="P123" s="8" t="n">
        <v>231</v>
      </c>
      <c r="Q123" s="8" t="s">
        <v>25</v>
      </c>
    </row>
    <row r="124" customFormat="false" ht="39.75" hidden="false" customHeight="true" outlineLevel="0" collapsed="false">
      <c r="A124" s="9" t="s">
        <v>77</v>
      </c>
      <c r="B124" s="9" t="n">
        <v>8</v>
      </c>
      <c r="C124" s="8" t="s">
        <v>942</v>
      </c>
      <c r="D124" s="9" t="s">
        <v>90</v>
      </c>
      <c r="E124" s="8" t="s">
        <v>1001</v>
      </c>
      <c r="F124" s="8" t="n">
        <v>17</v>
      </c>
      <c r="G124" s="8" t="n">
        <v>2022</v>
      </c>
      <c r="H124" s="9" t="s">
        <v>754</v>
      </c>
      <c r="I124" s="8" t="s">
        <v>73</v>
      </c>
      <c r="J124" s="8" t="s">
        <v>79</v>
      </c>
      <c r="K124" s="8" t="s">
        <v>1002</v>
      </c>
      <c r="L124" s="8" t="s">
        <v>286</v>
      </c>
      <c r="M124" s="8" t="s">
        <v>1003</v>
      </c>
      <c r="N124" s="32" t="s">
        <v>1004</v>
      </c>
      <c r="O124" s="8" t="n">
        <v>300</v>
      </c>
      <c r="P124" s="8" t="n">
        <v>42</v>
      </c>
      <c r="Q124" s="8" t="s">
        <v>286</v>
      </c>
    </row>
    <row r="125" customFormat="false" ht="39.75" hidden="false" customHeight="true" outlineLevel="0" collapsed="false">
      <c r="A125" s="9" t="s">
        <v>77</v>
      </c>
      <c r="B125" s="9" t="n">
        <v>8</v>
      </c>
      <c r="C125" s="8" t="s">
        <v>942</v>
      </c>
      <c r="D125" s="9" t="s">
        <v>90</v>
      </c>
      <c r="E125" s="8" t="s">
        <v>861</v>
      </c>
      <c r="F125" s="8" t="n">
        <v>18</v>
      </c>
      <c r="G125" s="8" t="n">
        <v>2020</v>
      </c>
      <c r="H125" s="9" t="s">
        <v>754</v>
      </c>
      <c r="I125" s="8" t="s">
        <v>73</v>
      </c>
      <c r="J125" s="8" t="s">
        <v>79</v>
      </c>
      <c r="K125" s="8" t="s">
        <v>862</v>
      </c>
      <c r="L125" s="8" t="s">
        <v>44</v>
      </c>
      <c r="M125" s="8" t="s">
        <v>1005</v>
      </c>
      <c r="N125" s="32" t="s">
        <v>1006</v>
      </c>
      <c r="O125" s="8" t="n">
        <v>2400</v>
      </c>
      <c r="P125" s="8" t="n">
        <v>336</v>
      </c>
      <c r="Q125" s="8" t="s">
        <v>44</v>
      </c>
    </row>
    <row r="126" customFormat="false" ht="39.75" hidden="false" customHeight="true" outlineLevel="0" collapsed="false">
      <c r="A126" s="9" t="s">
        <v>77</v>
      </c>
      <c r="B126" s="9" t="n">
        <v>8</v>
      </c>
      <c r="C126" s="8" t="s">
        <v>942</v>
      </c>
      <c r="D126" s="9" t="s">
        <v>90</v>
      </c>
      <c r="E126" s="8" t="s">
        <v>1007</v>
      </c>
      <c r="F126" s="8" t="n">
        <v>19</v>
      </c>
      <c r="G126" s="8" t="n">
        <v>2020</v>
      </c>
      <c r="H126" s="9" t="s">
        <v>754</v>
      </c>
      <c r="I126" s="8" t="s">
        <v>73</v>
      </c>
      <c r="J126" s="8" t="s">
        <v>79</v>
      </c>
      <c r="K126" s="8" t="s">
        <v>1008</v>
      </c>
      <c r="L126" s="8" t="s">
        <v>44</v>
      </c>
      <c r="M126" s="8" t="s">
        <v>1009</v>
      </c>
      <c r="N126" s="32" t="s">
        <v>1010</v>
      </c>
      <c r="O126" s="8" t="n">
        <v>2250</v>
      </c>
      <c r="P126" s="8" t="n">
        <v>315</v>
      </c>
      <c r="Q126" s="8" t="s">
        <v>44</v>
      </c>
    </row>
    <row r="127" customFormat="false" ht="39.75" hidden="false" customHeight="true" outlineLevel="0" collapsed="false">
      <c r="A127" s="9" t="s">
        <v>77</v>
      </c>
      <c r="B127" s="9" t="n">
        <v>8</v>
      </c>
      <c r="C127" s="8" t="s">
        <v>942</v>
      </c>
      <c r="D127" s="9" t="s">
        <v>90</v>
      </c>
      <c r="E127" s="8" t="s">
        <v>1011</v>
      </c>
      <c r="F127" s="8" t="n">
        <v>20</v>
      </c>
      <c r="G127" s="8" t="n">
        <v>2021</v>
      </c>
      <c r="H127" s="9" t="s">
        <v>754</v>
      </c>
      <c r="I127" s="8" t="s">
        <v>73</v>
      </c>
      <c r="J127" s="8" t="s">
        <v>79</v>
      </c>
      <c r="K127" s="8" t="s">
        <v>1012</v>
      </c>
      <c r="L127" s="8" t="s">
        <v>38</v>
      </c>
      <c r="M127" s="8" t="s">
        <v>1013</v>
      </c>
      <c r="N127" s="32" t="s">
        <v>1014</v>
      </c>
      <c r="O127" s="8" t="n">
        <v>100</v>
      </c>
      <c r="P127" s="8" t="n">
        <v>14</v>
      </c>
      <c r="Q127" s="8" t="s">
        <v>38</v>
      </c>
    </row>
    <row r="128" customFormat="false" ht="39.75" hidden="false" customHeight="true" outlineLevel="0" collapsed="false">
      <c r="A128" s="9" t="s">
        <v>77</v>
      </c>
      <c r="B128" s="9" t="n">
        <v>8</v>
      </c>
      <c r="C128" s="8" t="s">
        <v>942</v>
      </c>
      <c r="D128" s="9" t="s">
        <v>90</v>
      </c>
      <c r="E128" s="8" t="s">
        <v>1015</v>
      </c>
      <c r="F128" s="8" t="n">
        <v>21</v>
      </c>
      <c r="G128" s="8" t="n">
        <v>2024</v>
      </c>
      <c r="H128" s="9" t="s">
        <v>754</v>
      </c>
      <c r="I128" s="8" t="s">
        <v>73</v>
      </c>
      <c r="J128" s="8" t="s">
        <v>79</v>
      </c>
      <c r="K128" s="8" t="s">
        <v>1016</v>
      </c>
      <c r="L128" s="8" t="s">
        <v>38</v>
      </c>
      <c r="M128" s="8" t="s">
        <v>1017</v>
      </c>
      <c r="N128" s="32" t="s">
        <v>1018</v>
      </c>
      <c r="O128" s="8" t="n">
        <v>80</v>
      </c>
      <c r="P128" s="8" t="n">
        <v>11.2</v>
      </c>
      <c r="Q128" s="8" t="s">
        <v>38</v>
      </c>
    </row>
    <row r="129" customFormat="false" ht="39.75" hidden="false" customHeight="true" outlineLevel="0" collapsed="false">
      <c r="A129" s="4" t="s">
        <v>77</v>
      </c>
      <c r="B129" s="8" t="n">
        <v>8</v>
      </c>
      <c r="C129" s="8" t="s">
        <v>942</v>
      </c>
      <c r="D129" s="8" t="s">
        <v>90</v>
      </c>
      <c r="E129" s="8" t="s">
        <v>1019</v>
      </c>
      <c r="F129" s="8" t="n">
        <v>22</v>
      </c>
      <c r="G129" s="8" t="n">
        <v>2023</v>
      </c>
      <c r="H129" s="9" t="s">
        <v>754</v>
      </c>
      <c r="I129" s="8" t="s">
        <v>73</v>
      </c>
      <c r="J129" s="8" t="s">
        <v>79</v>
      </c>
      <c r="K129" s="8" t="s">
        <v>1020</v>
      </c>
      <c r="L129" s="8" t="s">
        <v>286</v>
      </c>
      <c r="M129" s="8" t="s">
        <v>1021</v>
      </c>
      <c r="N129" s="32" t="s">
        <v>952</v>
      </c>
      <c r="O129" s="8" t="n">
        <v>4000</v>
      </c>
      <c r="P129" s="8" t="n">
        <v>560</v>
      </c>
      <c r="Q129" s="8" t="s">
        <v>286</v>
      </c>
    </row>
    <row r="130" customFormat="false" ht="39.75" hidden="false" customHeight="true" outlineLevel="0" collapsed="false">
      <c r="A130" s="4" t="s">
        <v>77</v>
      </c>
      <c r="B130" s="8" t="n">
        <v>8</v>
      </c>
      <c r="C130" s="8" t="s">
        <v>942</v>
      </c>
      <c r="D130" s="8" t="s">
        <v>90</v>
      </c>
      <c r="E130" s="8" t="s">
        <v>1022</v>
      </c>
      <c r="F130" s="8" t="n">
        <v>23</v>
      </c>
      <c r="G130" s="8" t="n">
        <v>2023</v>
      </c>
      <c r="H130" s="9" t="s">
        <v>754</v>
      </c>
      <c r="I130" s="8" t="s">
        <v>73</v>
      </c>
      <c r="J130" s="8" t="s">
        <v>79</v>
      </c>
      <c r="K130" s="8" t="s">
        <v>1023</v>
      </c>
      <c r="L130" s="8" t="s">
        <v>25</v>
      </c>
      <c r="M130" s="8" t="s">
        <v>1024</v>
      </c>
      <c r="N130" s="32" t="s">
        <v>952</v>
      </c>
      <c r="O130" s="8" t="n">
        <v>30000</v>
      </c>
      <c r="P130" s="8" t="n">
        <v>4200</v>
      </c>
      <c r="Q130" s="8" t="s">
        <v>25</v>
      </c>
    </row>
    <row r="131" customFormat="false" ht="39.75" hidden="false" customHeight="true" outlineLevel="0" collapsed="false">
      <c r="A131" s="4" t="s">
        <v>77</v>
      </c>
      <c r="B131" s="8" t="n">
        <v>8</v>
      </c>
      <c r="C131" s="8" t="s">
        <v>942</v>
      </c>
      <c r="D131" s="8" t="s">
        <v>90</v>
      </c>
      <c r="E131" s="8" t="s">
        <v>1025</v>
      </c>
      <c r="F131" s="8" t="n">
        <v>24</v>
      </c>
      <c r="G131" s="8" t="n">
        <v>2023</v>
      </c>
      <c r="H131" s="9" t="s">
        <v>754</v>
      </c>
      <c r="I131" s="8" t="s">
        <v>73</v>
      </c>
      <c r="J131" s="8" t="s">
        <v>79</v>
      </c>
      <c r="K131" s="8" t="s">
        <v>1026</v>
      </c>
      <c r="L131" s="8" t="s">
        <v>25</v>
      </c>
      <c r="M131" s="8" t="s">
        <v>1027</v>
      </c>
      <c r="N131" s="32" t="s">
        <v>1028</v>
      </c>
      <c r="O131" s="8" t="n">
        <v>8200</v>
      </c>
      <c r="P131" s="8" t="n">
        <v>1148</v>
      </c>
      <c r="Q131" s="8" t="s">
        <v>25</v>
      </c>
    </row>
    <row r="132" customFormat="false" ht="39.75" hidden="false" customHeight="true" outlineLevel="0" collapsed="false">
      <c r="A132" s="4" t="s">
        <v>77</v>
      </c>
      <c r="B132" s="8" t="n">
        <v>8</v>
      </c>
      <c r="C132" s="8" t="s">
        <v>942</v>
      </c>
      <c r="D132" s="8" t="s">
        <v>90</v>
      </c>
      <c r="E132" s="8" t="s">
        <v>1029</v>
      </c>
      <c r="F132" s="8" t="n">
        <v>25</v>
      </c>
      <c r="G132" s="8" t="n">
        <v>2023</v>
      </c>
      <c r="H132" s="9" t="s">
        <v>754</v>
      </c>
      <c r="I132" s="8" t="s">
        <v>73</v>
      </c>
      <c r="J132" s="8" t="s">
        <v>79</v>
      </c>
      <c r="K132" s="8" t="s">
        <v>1030</v>
      </c>
      <c r="L132" s="8" t="s">
        <v>25</v>
      </c>
      <c r="M132" s="8" t="s">
        <v>1031</v>
      </c>
      <c r="N132" s="32" t="s">
        <v>952</v>
      </c>
      <c r="O132" s="8" t="n">
        <v>1200</v>
      </c>
      <c r="P132" s="8" t="n">
        <v>168</v>
      </c>
      <c r="Q132" s="8" t="s">
        <v>25</v>
      </c>
    </row>
    <row r="133" customFormat="false" ht="39.75" hidden="false" customHeight="true" outlineLevel="0" collapsed="false">
      <c r="A133" s="4" t="s">
        <v>77</v>
      </c>
      <c r="B133" s="8" t="n">
        <v>8</v>
      </c>
      <c r="C133" s="8" t="s">
        <v>942</v>
      </c>
      <c r="D133" s="8" t="s">
        <v>90</v>
      </c>
      <c r="E133" s="8" t="s">
        <v>1032</v>
      </c>
      <c r="F133" s="8" t="n">
        <v>26</v>
      </c>
      <c r="G133" s="8" t="n">
        <v>2023</v>
      </c>
      <c r="H133" s="9" t="s">
        <v>754</v>
      </c>
      <c r="I133" s="8" t="s">
        <v>73</v>
      </c>
      <c r="J133" s="8" t="s">
        <v>79</v>
      </c>
      <c r="K133" s="8" t="s">
        <v>1033</v>
      </c>
      <c r="L133" s="8" t="s">
        <v>25</v>
      </c>
      <c r="M133" s="8" t="s">
        <v>1034</v>
      </c>
      <c r="N133" s="32" t="s">
        <v>952</v>
      </c>
      <c r="O133" s="8" t="n">
        <v>3750</v>
      </c>
      <c r="P133" s="8" t="n">
        <v>525</v>
      </c>
      <c r="Q133" s="8" t="s">
        <v>25</v>
      </c>
    </row>
    <row r="134" customFormat="false" ht="39.75" hidden="false" customHeight="true" outlineLevel="0" collapsed="false">
      <c r="A134" s="4" t="s">
        <v>77</v>
      </c>
      <c r="B134" s="8" t="n">
        <v>8</v>
      </c>
      <c r="C134" s="8" t="s">
        <v>1035</v>
      </c>
      <c r="D134" s="8" t="s">
        <v>96</v>
      </c>
      <c r="E134" s="33" t="s">
        <v>1036</v>
      </c>
      <c r="F134" s="8" t="n">
        <v>1</v>
      </c>
      <c r="G134" s="33" t="n">
        <v>2025</v>
      </c>
      <c r="H134" s="33" t="s">
        <v>289</v>
      </c>
      <c r="I134" s="33" t="s">
        <v>73</v>
      </c>
      <c r="J134" s="33" t="s">
        <v>79</v>
      </c>
      <c r="K134" s="33" t="s">
        <v>1037</v>
      </c>
      <c r="L134" s="33" t="s">
        <v>38</v>
      </c>
      <c r="M134" s="33" t="s">
        <v>1038</v>
      </c>
      <c r="N134" s="32" t="s">
        <v>1039</v>
      </c>
      <c r="O134" s="8" t="n">
        <v>450</v>
      </c>
      <c r="P134" s="8" t="n">
        <v>63</v>
      </c>
      <c r="Q134" s="8" t="s">
        <v>38</v>
      </c>
    </row>
    <row r="135" customFormat="false" ht="39.75" hidden="false" customHeight="true" outlineLevel="0" collapsed="false">
      <c r="A135" s="4" t="s">
        <v>77</v>
      </c>
      <c r="B135" s="8" t="n">
        <v>8</v>
      </c>
      <c r="C135" s="8" t="s">
        <v>1035</v>
      </c>
      <c r="D135" s="8" t="s">
        <v>96</v>
      </c>
      <c r="E135" s="33" t="s">
        <v>1040</v>
      </c>
      <c r="F135" s="8" t="n">
        <v>2</v>
      </c>
      <c r="G135" s="33" t="n">
        <v>2025</v>
      </c>
      <c r="H135" s="33" t="s">
        <v>289</v>
      </c>
      <c r="I135" s="33" t="s">
        <v>73</v>
      </c>
      <c r="J135" s="33" t="s">
        <v>79</v>
      </c>
      <c r="K135" s="33" t="s">
        <v>1041</v>
      </c>
      <c r="L135" s="33" t="s">
        <v>110</v>
      </c>
      <c r="M135" s="33" t="s">
        <v>1042</v>
      </c>
      <c r="N135" s="32" t="s">
        <v>1043</v>
      </c>
      <c r="O135" s="8" t="n">
        <v>100</v>
      </c>
      <c r="P135" s="8" t="n">
        <v>14</v>
      </c>
      <c r="Q135" s="8" t="s">
        <v>110</v>
      </c>
    </row>
    <row r="136" customFormat="false" ht="39.75" hidden="false" customHeight="true" outlineLevel="0" collapsed="false">
      <c r="A136" s="9" t="s">
        <v>120</v>
      </c>
      <c r="B136" s="9" t="n">
        <v>12</v>
      </c>
      <c r="C136" s="8" t="s">
        <v>17</v>
      </c>
      <c r="D136" s="8" t="s">
        <v>17</v>
      </c>
      <c r="E136" s="8" t="s">
        <v>1044</v>
      </c>
      <c r="F136" s="8" t="n">
        <v>1</v>
      </c>
      <c r="G136" s="8" t="n">
        <v>2025</v>
      </c>
      <c r="H136" s="9" t="s">
        <v>433</v>
      </c>
      <c r="I136" s="8" t="s">
        <v>115</v>
      </c>
      <c r="J136" s="8" t="s">
        <v>66</v>
      </c>
      <c r="K136" s="8" t="s">
        <v>1045</v>
      </c>
      <c r="L136" s="8" t="s">
        <v>44</v>
      </c>
      <c r="M136" s="8" t="s">
        <v>1046</v>
      </c>
      <c r="N136" s="8" t="s">
        <v>1047</v>
      </c>
      <c r="O136" s="8" t="n">
        <v>1300</v>
      </c>
      <c r="P136" s="8" t="n">
        <v>41.6</v>
      </c>
      <c r="Q136" s="8" t="s">
        <v>44</v>
      </c>
    </row>
    <row r="137" customFormat="false" ht="39.75" hidden="false" customHeight="true" outlineLevel="0" collapsed="false">
      <c r="A137" s="9" t="s">
        <v>138</v>
      </c>
      <c r="B137" s="9" t="n">
        <v>15</v>
      </c>
      <c r="C137" s="9" t="s">
        <v>144</v>
      </c>
      <c r="D137" s="9" t="s">
        <v>28</v>
      </c>
      <c r="E137" s="34" t="s">
        <v>1048</v>
      </c>
      <c r="F137" s="8" t="n">
        <v>4</v>
      </c>
      <c r="G137" s="8" t="n">
        <v>2022</v>
      </c>
      <c r="H137" s="8" t="s">
        <v>1049</v>
      </c>
      <c r="I137" s="8" t="s">
        <v>128</v>
      </c>
      <c r="J137" s="8" t="s">
        <v>66</v>
      </c>
      <c r="K137" s="8" t="s">
        <v>1050</v>
      </c>
      <c r="L137" s="8" t="s">
        <v>25</v>
      </c>
      <c r="M137" s="8" t="s">
        <v>1051</v>
      </c>
      <c r="N137" s="8" t="s">
        <v>152</v>
      </c>
      <c r="O137" s="8" t="n">
        <v>92900</v>
      </c>
      <c r="P137" s="8" t="n">
        <v>585.27</v>
      </c>
      <c r="Q137" s="8" t="s">
        <v>25</v>
      </c>
    </row>
    <row r="138" customFormat="false" ht="39.75" hidden="false" customHeight="true" outlineLevel="0" collapsed="false">
      <c r="A138" s="9" t="s">
        <v>138</v>
      </c>
      <c r="B138" s="9" t="n">
        <v>15</v>
      </c>
      <c r="C138" s="9" t="s">
        <v>144</v>
      </c>
      <c r="D138" s="9" t="s">
        <v>28</v>
      </c>
      <c r="E138" s="34" t="s">
        <v>1052</v>
      </c>
      <c r="F138" s="8" t="n">
        <v>5</v>
      </c>
      <c r="G138" s="8" t="n">
        <v>2024</v>
      </c>
      <c r="H138" s="8" t="s">
        <v>376</v>
      </c>
      <c r="I138" s="8" t="s">
        <v>128</v>
      </c>
      <c r="J138" s="8" t="s">
        <v>66</v>
      </c>
      <c r="K138" s="8" t="s">
        <v>1053</v>
      </c>
      <c r="L138" s="8" t="s">
        <v>25</v>
      </c>
      <c r="M138" s="8" t="s">
        <v>1054</v>
      </c>
      <c r="N138" s="8" t="s">
        <v>152</v>
      </c>
      <c r="O138" s="8" t="n">
        <v>150000</v>
      </c>
      <c r="P138" s="8" t="n">
        <v>945</v>
      </c>
      <c r="Q138" s="8" t="s">
        <v>25</v>
      </c>
    </row>
    <row r="139" customFormat="false" ht="39.75" hidden="false" customHeight="true" outlineLevel="0" collapsed="false">
      <c r="A139" s="4" t="s">
        <v>147</v>
      </c>
      <c r="B139" s="8" t="n">
        <v>16</v>
      </c>
      <c r="C139" s="8" t="s">
        <v>17</v>
      </c>
      <c r="D139" s="8" t="s">
        <v>17</v>
      </c>
      <c r="E139" s="8" t="s">
        <v>1055</v>
      </c>
      <c r="F139" s="8" t="n">
        <v>1</v>
      </c>
      <c r="G139" s="8" t="n">
        <v>2023</v>
      </c>
      <c r="H139" s="8" t="s">
        <v>412</v>
      </c>
      <c r="I139" s="8" t="s">
        <v>128</v>
      </c>
      <c r="J139" s="8" t="s">
        <v>66</v>
      </c>
      <c r="K139" s="8" t="s">
        <v>1056</v>
      </c>
      <c r="L139" s="8" t="s">
        <v>812</v>
      </c>
      <c r="M139" s="8" t="s">
        <v>1057</v>
      </c>
      <c r="N139" s="8" t="s">
        <v>1058</v>
      </c>
      <c r="O139" s="8" t="n">
        <v>129400</v>
      </c>
      <c r="P139" s="8" t="n">
        <v>815.22</v>
      </c>
      <c r="Q139" s="8" t="s">
        <v>25</v>
      </c>
      <c r="R139" s="35"/>
      <c r="S139" s="35"/>
      <c r="T139" s="35"/>
    </row>
    <row r="140" customFormat="false" ht="39.75" hidden="false" customHeight="true" outlineLevel="0" collapsed="false">
      <c r="A140" s="4" t="s">
        <v>147</v>
      </c>
      <c r="B140" s="8" t="n">
        <v>16</v>
      </c>
      <c r="C140" s="8" t="s">
        <v>17</v>
      </c>
      <c r="D140" s="8" t="s">
        <v>17</v>
      </c>
      <c r="E140" s="8" t="s">
        <v>1059</v>
      </c>
      <c r="F140" s="8" t="n">
        <v>2</v>
      </c>
      <c r="G140" s="8" t="n">
        <v>2024</v>
      </c>
      <c r="H140" s="8" t="s">
        <v>650</v>
      </c>
      <c r="I140" s="8" t="s">
        <v>128</v>
      </c>
      <c r="J140" s="8" t="s">
        <v>66</v>
      </c>
      <c r="K140" s="8" t="s">
        <v>1060</v>
      </c>
      <c r="L140" s="8" t="s">
        <v>812</v>
      </c>
      <c r="M140" s="8" t="s">
        <v>1061</v>
      </c>
      <c r="N140" s="8" t="s">
        <v>1062</v>
      </c>
      <c r="O140" s="8" t="n">
        <v>70500</v>
      </c>
      <c r="P140" s="8" t="n">
        <v>444.15</v>
      </c>
      <c r="Q140" s="8" t="s">
        <v>25</v>
      </c>
      <c r="R140" s="36"/>
      <c r="S140" s="36"/>
      <c r="T140" s="24"/>
    </row>
    <row r="141" customFormat="false" ht="39.75" hidden="false" customHeight="true" outlineLevel="0" collapsed="false">
      <c r="A141" s="4" t="s">
        <v>147</v>
      </c>
      <c r="B141" s="8" t="n">
        <v>16</v>
      </c>
      <c r="C141" s="8" t="s">
        <v>17</v>
      </c>
      <c r="D141" s="8" t="s">
        <v>17</v>
      </c>
      <c r="E141" s="8" t="s">
        <v>1063</v>
      </c>
      <c r="F141" s="8" t="n">
        <v>3</v>
      </c>
      <c r="G141" s="8" t="n">
        <v>2024</v>
      </c>
      <c r="H141" s="8" t="s">
        <v>376</v>
      </c>
      <c r="I141" s="8" t="s">
        <v>128</v>
      </c>
      <c r="J141" s="8" t="s">
        <v>66</v>
      </c>
      <c r="K141" s="8" t="s">
        <v>967</v>
      </c>
      <c r="L141" s="8" t="s">
        <v>110</v>
      </c>
      <c r="M141" s="8" t="s">
        <v>1064</v>
      </c>
      <c r="N141" s="32" t="s">
        <v>1065</v>
      </c>
      <c r="O141" s="8" t="n">
        <v>7000</v>
      </c>
      <c r="P141" s="8" t="n">
        <v>44.1</v>
      </c>
      <c r="Q141" s="8" t="s">
        <v>110</v>
      </c>
      <c r="R141" s="36"/>
      <c r="S141" s="36"/>
      <c r="T141" s="24"/>
    </row>
    <row r="142" customFormat="false" ht="39.75" hidden="false" customHeight="true" outlineLevel="0" collapsed="false">
      <c r="A142" s="4" t="s">
        <v>147</v>
      </c>
      <c r="B142" s="8" t="n">
        <v>16</v>
      </c>
      <c r="C142" s="8" t="s">
        <v>17</v>
      </c>
      <c r="D142" s="8" t="s">
        <v>17</v>
      </c>
      <c r="E142" s="8" t="s">
        <v>1066</v>
      </c>
      <c r="F142" s="8" t="n">
        <v>4</v>
      </c>
      <c r="G142" s="8" t="n">
        <v>2024</v>
      </c>
      <c r="H142" s="8" t="s">
        <v>376</v>
      </c>
      <c r="I142" s="8" t="s">
        <v>128</v>
      </c>
      <c r="J142" s="8" t="s">
        <v>66</v>
      </c>
      <c r="K142" s="8" t="s">
        <v>1067</v>
      </c>
      <c r="L142" s="8" t="s">
        <v>25</v>
      </c>
      <c r="M142" s="8" t="s">
        <v>1068</v>
      </c>
      <c r="N142" s="32" t="s">
        <v>1065</v>
      </c>
      <c r="O142" s="8" t="n">
        <v>5400</v>
      </c>
      <c r="P142" s="8" t="n">
        <v>34.02</v>
      </c>
      <c r="Q142" s="8" t="s">
        <v>25</v>
      </c>
    </row>
    <row r="143" customFormat="false" ht="39.75" hidden="false" customHeight="true" outlineLevel="0" collapsed="false">
      <c r="A143" s="9" t="s">
        <v>138</v>
      </c>
      <c r="B143" s="9" t="n">
        <v>15</v>
      </c>
      <c r="C143" s="9" t="s">
        <v>153</v>
      </c>
      <c r="D143" s="9" t="s">
        <v>90</v>
      </c>
      <c r="E143" s="8" t="s">
        <v>1069</v>
      </c>
      <c r="F143" s="8" t="n">
        <v>2</v>
      </c>
      <c r="G143" s="8" t="n">
        <v>2022</v>
      </c>
      <c r="H143" s="8" t="s">
        <v>616</v>
      </c>
      <c r="I143" s="8" t="s">
        <v>128</v>
      </c>
      <c r="J143" s="8" t="s">
        <v>535</v>
      </c>
      <c r="K143" s="8" t="s">
        <v>1070</v>
      </c>
      <c r="L143" s="8" t="s">
        <v>1071</v>
      </c>
      <c r="M143" s="8" t="s">
        <v>1072</v>
      </c>
      <c r="N143" s="8" t="s">
        <v>1073</v>
      </c>
      <c r="O143" s="8" t="n">
        <v>590000</v>
      </c>
      <c r="P143" s="8" t="n">
        <v>3717</v>
      </c>
      <c r="Q143" s="8" t="s">
        <v>119</v>
      </c>
    </row>
    <row r="144" customFormat="false" ht="39.75" hidden="false" customHeight="true" outlineLevel="0" collapsed="false">
      <c r="A144" s="9" t="s">
        <v>138</v>
      </c>
      <c r="B144" s="9" t="n">
        <v>15</v>
      </c>
      <c r="C144" s="9" t="s">
        <v>144</v>
      </c>
      <c r="D144" s="9" t="s">
        <v>28</v>
      </c>
      <c r="E144" s="8" t="s">
        <v>1074</v>
      </c>
      <c r="F144" s="8" t="n">
        <v>6</v>
      </c>
      <c r="G144" s="8" t="n">
        <v>2022</v>
      </c>
      <c r="H144" s="8" t="s">
        <v>616</v>
      </c>
      <c r="I144" s="8" t="s">
        <v>128</v>
      </c>
      <c r="J144" s="8" t="s">
        <v>66</v>
      </c>
      <c r="K144" s="8" t="s">
        <v>1075</v>
      </c>
      <c r="L144" s="8" t="s">
        <v>25</v>
      </c>
      <c r="M144" s="8" t="s">
        <v>1076</v>
      </c>
      <c r="N144" s="8" t="s">
        <v>1077</v>
      </c>
      <c r="O144" s="8" t="n">
        <v>46500</v>
      </c>
      <c r="P144" s="8" t="n">
        <v>292.95</v>
      </c>
      <c r="Q144" s="8" t="s">
        <v>25</v>
      </c>
    </row>
    <row r="145" customFormat="false" ht="39.75" hidden="false" customHeight="true" outlineLevel="0" collapsed="false">
      <c r="A145" s="9" t="s">
        <v>138</v>
      </c>
      <c r="B145" s="9" t="n">
        <v>15</v>
      </c>
      <c r="C145" s="9" t="s">
        <v>144</v>
      </c>
      <c r="D145" s="9" t="s">
        <v>28</v>
      </c>
      <c r="E145" s="8" t="s">
        <v>1078</v>
      </c>
      <c r="F145" s="8" t="n">
        <v>7</v>
      </c>
      <c r="G145" s="8" t="n">
        <v>2023</v>
      </c>
      <c r="H145" s="8" t="s">
        <v>192</v>
      </c>
      <c r="I145" s="8" t="s">
        <v>128</v>
      </c>
      <c r="J145" s="8" t="s">
        <v>66</v>
      </c>
      <c r="K145" s="8" t="s">
        <v>1079</v>
      </c>
      <c r="L145" s="8" t="s">
        <v>25</v>
      </c>
      <c r="M145" s="8" t="s">
        <v>1080</v>
      </c>
      <c r="N145" s="8" t="s">
        <v>1077</v>
      </c>
      <c r="O145" s="8" t="n">
        <v>167000</v>
      </c>
      <c r="P145" s="8" t="n">
        <v>1052.1</v>
      </c>
      <c r="Q145" s="8" t="s">
        <v>25</v>
      </c>
    </row>
    <row r="146" customFormat="false" ht="39.75" hidden="false" customHeight="true" outlineLevel="0" collapsed="false">
      <c r="A146" s="9" t="s">
        <v>138</v>
      </c>
      <c r="B146" s="9" t="n">
        <v>15</v>
      </c>
      <c r="C146" s="9" t="s">
        <v>153</v>
      </c>
      <c r="D146" s="9" t="s">
        <v>90</v>
      </c>
      <c r="E146" s="8" t="s">
        <v>1081</v>
      </c>
      <c r="F146" s="8" t="n">
        <v>3</v>
      </c>
      <c r="G146" s="8" t="n">
        <v>2024</v>
      </c>
      <c r="H146" s="8" t="s">
        <v>376</v>
      </c>
      <c r="I146" s="8" t="s">
        <v>128</v>
      </c>
      <c r="J146" s="8" t="s">
        <v>66</v>
      </c>
      <c r="K146" s="8" t="s">
        <v>1082</v>
      </c>
      <c r="L146" s="8" t="s">
        <v>1083</v>
      </c>
      <c r="M146" s="8" t="s">
        <v>1084</v>
      </c>
      <c r="N146" s="8" t="s">
        <v>1085</v>
      </c>
      <c r="O146" s="8" t="n">
        <v>4000</v>
      </c>
      <c r="P146" s="8" t="n">
        <v>25.2</v>
      </c>
      <c r="Q146" s="8" t="s">
        <v>119</v>
      </c>
    </row>
    <row r="147" customFormat="false" ht="39.75" hidden="false" customHeight="true" outlineLevel="0" collapsed="false">
      <c r="A147" s="9" t="s">
        <v>161</v>
      </c>
      <c r="B147" s="9" t="n">
        <v>19</v>
      </c>
      <c r="C147" s="8" t="s">
        <v>17</v>
      </c>
      <c r="D147" s="8" t="s">
        <v>17</v>
      </c>
      <c r="E147" s="8" t="s">
        <v>1086</v>
      </c>
      <c r="F147" s="8" t="n">
        <v>1</v>
      </c>
      <c r="G147" s="8" t="n">
        <v>2023</v>
      </c>
      <c r="H147" s="8" t="s">
        <v>1087</v>
      </c>
      <c r="I147" s="8" t="s">
        <v>163</v>
      </c>
      <c r="J147" s="8" t="s">
        <v>535</v>
      </c>
      <c r="K147" s="9" t="s">
        <v>1088</v>
      </c>
      <c r="L147" s="8" t="s">
        <v>119</v>
      </c>
      <c r="M147" s="8" t="s">
        <v>1089</v>
      </c>
      <c r="N147" s="8" t="s">
        <v>1090</v>
      </c>
      <c r="O147" s="8" t="n">
        <v>10000</v>
      </c>
      <c r="P147" s="8" t="n">
        <v>6.8</v>
      </c>
      <c r="Q147" s="8" t="s">
        <v>119</v>
      </c>
    </row>
    <row r="148" customFormat="false" ht="39.75" hidden="false" customHeight="true" outlineLevel="0" collapsed="false">
      <c r="A148" s="4" t="s">
        <v>515</v>
      </c>
      <c r="B148" s="8" t="n">
        <v>60</v>
      </c>
      <c r="C148" s="8" t="s">
        <v>17</v>
      </c>
      <c r="D148" s="8" t="s">
        <v>17</v>
      </c>
      <c r="E148" s="8" t="s">
        <v>1091</v>
      </c>
      <c r="F148" s="8" t="n">
        <v>1</v>
      </c>
      <c r="G148" s="8" t="n">
        <v>2025</v>
      </c>
      <c r="H148" s="8" t="s">
        <v>268</v>
      </c>
      <c r="I148" s="8" t="s">
        <v>163</v>
      </c>
      <c r="J148" s="8" t="s">
        <v>1092</v>
      </c>
      <c r="K148" s="9" t="s">
        <v>1093</v>
      </c>
      <c r="L148" s="8" t="s">
        <v>25</v>
      </c>
      <c r="M148" s="8" t="s">
        <v>1094</v>
      </c>
      <c r="N148" s="8" t="s">
        <v>1095</v>
      </c>
      <c r="O148" s="8" t="n">
        <v>43000000</v>
      </c>
      <c r="P148" s="8" t="n">
        <v>29240</v>
      </c>
      <c r="Q148" s="8" t="s">
        <v>25</v>
      </c>
    </row>
    <row r="149" customFormat="false" ht="39.75" hidden="false" customHeight="true" outlineLevel="0" collapsed="false">
      <c r="A149" s="4" t="s">
        <v>191</v>
      </c>
      <c r="B149" s="8" t="n">
        <v>25</v>
      </c>
      <c r="C149" s="8" t="s">
        <v>17</v>
      </c>
      <c r="D149" s="8" t="s">
        <v>17</v>
      </c>
      <c r="E149" s="8" t="s">
        <v>1096</v>
      </c>
      <c r="F149" s="8" t="n">
        <v>4</v>
      </c>
      <c r="G149" s="8" t="n">
        <v>2022</v>
      </c>
      <c r="H149" s="8" t="s">
        <v>1097</v>
      </c>
      <c r="I149" s="8" t="s">
        <v>594</v>
      </c>
      <c r="J149" s="8" t="s">
        <v>535</v>
      </c>
      <c r="K149" s="4" t="s">
        <v>1098</v>
      </c>
      <c r="L149" s="8" t="s">
        <v>25</v>
      </c>
      <c r="M149" s="8" t="s">
        <v>1099</v>
      </c>
      <c r="N149" s="8" t="s">
        <v>1100</v>
      </c>
      <c r="O149" s="8" t="n">
        <v>292.5</v>
      </c>
      <c r="P149" s="8" t="n">
        <v>342.225</v>
      </c>
      <c r="Q149" s="8" t="s">
        <v>25</v>
      </c>
    </row>
    <row r="150" customFormat="false" ht="39.75" hidden="false" customHeight="true" outlineLevel="0" collapsed="false">
      <c r="A150" s="4" t="s">
        <v>191</v>
      </c>
      <c r="B150" s="8" t="n">
        <v>25</v>
      </c>
      <c r="C150" s="8" t="s">
        <v>17</v>
      </c>
      <c r="D150" s="8" t="s">
        <v>17</v>
      </c>
      <c r="E150" s="8" t="s">
        <v>1101</v>
      </c>
      <c r="F150" s="8" t="n">
        <v>5</v>
      </c>
      <c r="G150" s="8" t="n">
        <v>2024</v>
      </c>
      <c r="H150" s="8" t="s">
        <v>121</v>
      </c>
      <c r="I150" s="8" t="s">
        <v>594</v>
      </c>
      <c r="J150" s="8" t="s">
        <v>535</v>
      </c>
      <c r="K150" s="4" t="s">
        <v>1102</v>
      </c>
      <c r="L150" s="8" t="s">
        <v>286</v>
      </c>
      <c r="M150" s="8" t="s">
        <v>1103</v>
      </c>
      <c r="N150" s="8" t="s">
        <v>1104</v>
      </c>
      <c r="O150" s="8" t="n">
        <v>1300</v>
      </c>
      <c r="P150" s="8" t="n">
        <v>1521</v>
      </c>
      <c r="Q150" s="8" t="s">
        <v>286</v>
      </c>
    </row>
    <row r="151" customFormat="false" ht="39.75" hidden="false" customHeight="true" outlineLevel="0" collapsed="false">
      <c r="A151" s="4" t="s">
        <v>191</v>
      </c>
      <c r="B151" s="8" t="n">
        <v>25</v>
      </c>
      <c r="C151" s="8" t="s">
        <v>17</v>
      </c>
      <c r="D151" s="8" t="s">
        <v>17</v>
      </c>
      <c r="E151" s="8" t="s">
        <v>1105</v>
      </c>
      <c r="F151" s="8" t="n">
        <v>6</v>
      </c>
      <c r="G151" s="8" t="n">
        <v>2025</v>
      </c>
      <c r="H151" s="8" t="s">
        <v>627</v>
      </c>
      <c r="I151" s="8" t="s">
        <v>584</v>
      </c>
      <c r="J151" s="8" t="s">
        <v>535</v>
      </c>
      <c r="K151" s="4" t="s">
        <v>1106</v>
      </c>
      <c r="L151" s="8" t="s">
        <v>25</v>
      </c>
      <c r="M151" s="8" t="s">
        <v>1107</v>
      </c>
      <c r="N151" s="8" t="s">
        <v>1108</v>
      </c>
      <c r="O151" s="8" t="n">
        <v>920</v>
      </c>
      <c r="P151" s="8" t="n">
        <v>1082</v>
      </c>
      <c r="Q151" s="8" t="s">
        <v>25</v>
      </c>
    </row>
    <row r="152" customFormat="false" ht="39.75" hidden="false" customHeight="true" outlineLevel="0" collapsed="false">
      <c r="A152" s="4" t="s">
        <v>191</v>
      </c>
      <c r="B152" s="8" t="n">
        <v>25</v>
      </c>
      <c r="C152" s="8" t="s">
        <v>17</v>
      </c>
      <c r="D152" s="8" t="s">
        <v>17</v>
      </c>
      <c r="E152" s="8" t="s">
        <v>1109</v>
      </c>
      <c r="F152" s="8" t="n">
        <v>7</v>
      </c>
      <c r="G152" s="8" t="n">
        <v>2025</v>
      </c>
      <c r="H152" s="8" t="s">
        <v>314</v>
      </c>
      <c r="I152" s="8" t="s">
        <v>584</v>
      </c>
      <c r="J152" s="8" t="s">
        <v>535</v>
      </c>
      <c r="K152" s="4" t="s">
        <v>1110</v>
      </c>
      <c r="L152" s="8" t="s">
        <v>25</v>
      </c>
      <c r="M152" s="8" t="s">
        <v>1111</v>
      </c>
      <c r="N152" s="8" t="s">
        <v>1112</v>
      </c>
      <c r="O152" s="8" t="n">
        <v>227</v>
      </c>
      <c r="P152" s="8" t="n">
        <v>265.59</v>
      </c>
      <c r="Q152" s="8" t="s">
        <v>25</v>
      </c>
    </row>
    <row r="153" customFormat="false" ht="39.75" hidden="false" customHeight="true" outlineLevel="0" collapsed="false">
      <c r="A153" s="4" t="s">
        <v>191</v>
      </c>
      <c r="B153" s="8" t="n">
        <v>25</v>
      </c>
      <c r="C153" s="8" t="s">
        <v>17</v>
      </c>
      <c r="D153" s="8" t="s">
        <v>17</v>
      </c>
      <c r="E153" s="8" t="s">
        <v>1113</v>
      </c>
      <c r="F153" s="8" t="n">
        <v>8</v>
      </c>
      <c r="G153" s="8" t="n">
        <v>2025</v>
      </c>
      <c r="H153" s="8" t="s">
        <v>528</v>
      </c>
      <c r="I153" s="8" t="s">
        <v>1114</v>
      </c>
      <c r="J153" s="8" t="s">
        <v>535</v>
      </c>
      <c r="K153" s="4" t="s">
        <v>1115</v>
      </c>
      <c r="L153" s="8" t="s">
        <v>812</v>
      </c>
      <c r="M153" s="8" t="s">
        <v>1116</v>
      </c>
      <c r="N153" s="8" t="s">
        <v>1117</v>
      </c>
      <c r="O153" s="8" t="n">
        <v>450</v>
      </c>
      <c r="P153" s="8" t="n">
        <v>526.5</v>
      </c>
      <c r="Q153" s="8" t="s">
        <v>25</v>
      </c>
    </row>
    <row r="154" customFormat="false" ht="39.75" hidden="false" customHeight="true" outlineLevel="0" collapsed="false">
      <c r="A154" s="4" t="s">
        <v>191</v>
      </c>
      <c r="B154" s="8" t="n">
        <v>25</v>
      </c>
      <c r="C154" s="8" t="s">
        <v>17</v>
      </c>
      <c r="D154" s="8" t="s">
        <v>17</v>
      </c>
      <c r="E154" s="8" t="s">
        <v>1118</v>
      </c>
      <c r="F154" s="8" t="n">
        <v>9</v>
      </c>
      <c r="G154" s="8" t="n">
        <v>2025</v>
      </c>
      <c r="H154" s="8" t="s">
        <v>268</v>
      </c>
      <c r="I154" s="8" t="s">
        <v>584</v>
      </c>
      <c r="J154" s="8" t="s">
        <v>535</v>
      </c>
      <c r="K154" s="4" t="s">
        <v>1119</v>
      </c>
      <c r="L154" s="8" t="s">
        <v>25</v>
      </c>
      <c r="M154" s="8" t="s">
        <v>1120</v>
      </c>
      <c r="N154" s="8" t="s">
        <v>1121</v>
      </c>
      <c r="O154" s="8" t="n">
        <v>495</v>
      </c>
      <c r="P154" s="8" t="n">
        <v>579.15</v>
      </c>
      <c r="Q154" s="8" t="s">
        <v>25</v>
      </c>
    </row>
    <row r="155" customFormat="false" ht="39.75" hidden="false" customHeight="true" outlineLevel="0" collapsed="false">
      <c r="A155" s="4" t="s">
        <v>191</v>
      </c>
      <c r="B155" s="8" t="n">
        <v>25</v>
      </c>
      <c r="C155" s="8" t="s">
        <v>17</v>
      </c>
      <c r="D155" s="8" t="s">
        <v>17</v>
      </c>
      <c r="E155" s="8" t="s">
        <v>1122</v>
      </c>
      <c r="F155" s="8" t="n">
        <v>10</v>
      </c>
      <c r="G155" s="8" t="n">
        <v>2025</v>
      </c>
      <c r="H155" s="8" t="s">
        <v>268</v>
      </c>
      <c r="I155" s="8" t="s">
        <v>584</v>
      </c>
      <c r="J155" s="8" t="s">
        <v>535</v>
      </c>
      <c r="K155" s="4" t="s">
        <v>1123</v>
      </c>
      <c r="L155" s="8" t="s">
        <v>25</v>
      </c>
      <c r="M155" s="8" t="s">
        <v>1124</v>
      </c>
      <c r="N155" s="8" t="s">
        <v>1121</v>
      </c>
      <c r="O155" s="8" t="n">
        <v>128</v>
      </c>
      <c r="P155" s="8" t="n">
        <v>149.76</v>
      </c>
      <c r="Q155" s="8" t="s">
        <v>25</v>
      </c>
    </row>
    <row r="156" customFormat="false" ht="39.75" hidden="false" customHeight="true" outlineLevel="0" collapsed="false">
      <c r="A156" s="9" t="s">
        <v>1125</v>
      </c>
      <c r="B156" s="37" t="n">
        <v>26</v>
      </c>
      <c r="C156" s="8" t="s">
        <v>17</v>
      </c>
      <c r="D156" s="22" t="s">
        <v>17</v>
      </c>
      <c r="E156" s="22" t="s">
        <v>1126</v>
      </c>
      <c r="F156" s="37" t="n">
        <v>1</v>
      </c>
      <c r="G156" s="37" t="n">
        <v>2018</v>
      </c>
      <c r="H156" s="22" t="s">
        <v>1127</v>
      </c>
      <c r="I156" s="22" t="s">
        <v>584</v>
      </c>
      <c r="J156" s="22" t="s">
        <v>66</v>
      </c>
      <c r="K156" s="22" t="s">
        <v>1128</v>
      </c>
      <c r="L156" s="22" t="s">
        <v>68</v>
      </c>
      <c r="M156" s="22" t="s">
        <v>1129</v>
      </c>
      <c r="N156" s="20" t="s">
        <v>1130</v>
      </c>
      <c r="O156" s="8" t="n">
        <v>325</v>
      </c>
      <c r="P156" s="8" t="n">
        <v>380.25</v>
      </c>
      <c r="Q156" s="8" t="s">
        <v>25</v>
      </c>
    </row>
    <row r="157" customFormat="false" ht="39.75" hidden="false" customHeight="true" outlineLevel="0" collapsed="false">
      <c r="A157" s="9" t="s">
        <v>1125</v>
      </c>
      <c r="B157" s="37" t="n">
        <v>26</v>
      </c>
      <c r="C157" s="8" t="s">
        <v>17</v>
      </c>
      <c r="D157" s="22" t="s">
        <v>17</v>
      </c>
      <c r="E157" s="22" t="s">
        <v>1131</v>
      </c>
      <c r="F157" s="37" t="n">
        <v>2</v>
      </c>
      <c r="G157" s="37" t="n">
        <v>2018</v>
      </c>
      <c r="H157" s="22" t="s">
        <v>1127</v>
      </c>
      <c r="I157" s="22" t="s">
        <v>584</v>
      </c>
      <c r="J157" s="22" t="s">
        <v>66</v>
      </c>
      <c r="K157" s="22" t="s">
        <v>1132</v>
      </c>
      <c r="L157" s="22" t="s">
        <v>68</v>
      </c>
      <c r="M157" s="22" t="s">
        <v>1133</v>
      </c>
      <c r="N157" s="20" t="s">
        <v>1130</v>
      </c>
      <c r="O157" s="8" t="n">
        <v>160</v>
      </c>
      <c r="P157" s="8" t="n">
        <v>187.2</v>
      </c>
      <c r="Q157" s="8" t="s">
        <v>25</v>
      </c>
    </row>
    <row r="158" customFormat="false" ht="39.75" hidden="false" customHeight="true" outlineLevel="0" collapsed="false">
      <c r="A158" s="9" t="s">
        <v>1125</v>
      </c>
      <c r="B158" s="37" t="n">
        <v>26</v>
      </c>
      <c r="C158" s="8" t="s">
        <v>17</v>
      </c>
      <c r="D158" s="22" t="s">
        <v>17</v>
      </c>
      <c r="E158" s="22" t="s">
        <v>1134</v>
      </c>
      <c r="F158" s="37" t="n">
        <v>3</v>
      </c>
      <c r="G158" s="37" t="n">
        <v>2021</v>
      </c>
      <c r="H158" s="22" t="s">
        <v>508</v>
      </c>
      <c r="I158" s="22" t="s">
        <v>1135</v>
      </c>
      <c r="J158" s="22" t="s">
        <v>66</v>
      </c>
      <c r="K158" s="22" t="s">
        <v>1136</v>
      </c>
      <c r="L158" s="22" t="s">
        <v>68</v>
      </c>
      <c r="M158" s="22" t="s">
        <v>1137</v>
      </c>
      <c r="N158" s="20" t="s">
        <v>1130</v>
      </c>
      <c r="O158" s="8" t="n">
        <v>146.5</v>
      </c>
      <c r="P158" s="8" t="n">
        <v>171.405</v>
      </c>
      <c r="Q158" s="8" t="s">
        <v>25</v>
      </c>
    </row>
    <row r="159" customFormat="false" ht="39.75" hidden="false" customHeight="true" outlineLevel="0" collapsed="false">
      <c r="A159" s="9" t="s">
        <v>1125</v>
      </c>
      <c r="B159" s="37" t="n">
        <v>26</v>
      </c>
      <c r="C159" s="8" t="s">
        <v>17</v>
      </c>
      <c r="D159" s="22" t="s">
        <v>17</v>
      </c>
      <c r="E159" s="22" t="s">
        <v>1138</v>
      </c>
      <c r="F159" s="37" t="n">
        <v>4</v>
      </c>
      <c r="G159" s="37" t="n">
        <v>2018</v>
      </c>
      <c r="H159" s="22" t="s">
        <v>1127</v>
      </c>
      <c r="I159" s="22" t="s">
        <v>584</v>
      </c>
      <c r="J159" s="22" t="s">
        <v>66</v>
      </c>
      <c r="K159" s="22" t="s">
        <v>1139</v>
      </c>
      <c r="L159" s="22" t="s">
        <v>68</v>
      </c>
      <c r="M159" s="22" t="s">
        <v>1140</v>
      </c>
      <c r="N159" s="20" t="s">
        <v>1130</v>
      </c>
      <c r="O159" s="8" t="n">
        <v>252</v>
      </c>
      <c r="P159" s="8" t="n">
        <v>294.84</v>
      </c>
      <c r="Q159" s="8" t="s">
        <v>25</v>
      </c>
    </row>
    <row r="160" customFormat="false" ht="39.75" hidden="false" customHeight="true" outlineLevel="0" collapsed="false">
      <c r="A160" s="9" t="s">
        <v>1125</v>
      </c>
      <c r="B160" s="37" t="n">
        <v>26</v>
      </c>
      <c r="C160" s="8" t="s">
        <v>17</v>
      </c>
      <c r="D160" s="22" t="s">
        <v>17</v>
      </c>
      <c r="E160" s="22" t="s">
        <v>1141</v>
      </c>
      <c r="F160" s="37" t="n">
        <v>5</v>
      </c>
      <c r="G160" s="37" t="n">
        <v>2018</v>
      </c>
      <c r="H160" s="22" t="s">
        <v>1127</v>
      </c>
      <c r="I160" s="22" t="s">
        <v>584</v>
      </c>
      <c r="J160" s="22" t="s">
        <v>66</v>
      </c>
      <c r="K160" s="22" t="s">
        <v>1142</v>
      </c>
      <c r="L160" s="22" t="s">
        <v>68</v>
      </c>
      <c r="M160" s="22" t="s">
        <v>1143</v>
      </c>
      <c r="N160" s="20" t="s">
        <v>1130</v>
      </c>
      <c r="O160" s="8" t="n">
        <v>100</v>
      </c>
      <c r="P160" s="8" t="n">
        <v>117</v>
      </c>
      <c r="Q160" s="8" t="s">
        <v>25</v>
      </c>
    </row>
    <row r="161" customFormat="false" ht="39.75" hidden="false" customHeight="true" outlineLevel="0" collapsed="false">
      <c r="A161" s="9" t="s">
        <v>1125</v>
      </c>
      <c r="B161" s="37" t="n">
        <v>26</v>
      </c>
      <c r="C161" s="8" t="s">
        <v>17</v>
      </c>
      <c r="D161" s="22" t="s">
        <v>17</v>
      </c>
      <c r="E161" s="22" t="s">
        <v>1144</v>
      </c>
      <c r="F161" s="37" t="n">
        <v>6</v>
      </c>
      <c r="G161" s="37" t="n">
        <v>2018</v>
      </c>
      <c r="H161" s="22" t="s">
        <v>1127</v>
      </c>
      <c r="I161" s="22" t="s">
        <v>209</v>
      </c>
      <c r="J161" s="22" t="s">
        <v>66</v>
      </c>
      <c r="K161" s="22" t="s">
        <v>1145</v>
      </c>
      <c r="L161" s="22" t="s">
        <v>68</v>
      </c>
      <c r="M161" s="22" t="s">
        <v>1146</v>
      </c>
      <c r="N161" s="20" t="s">
        <v>1130</v>
      </c>
      <c r="O161" s="8" t="s">
        <v>17</v>
      </c>
      <c r="P161" s="8" t="s">
        <v>17</v>
      </c>
      <c r="Q161" s="8" t="s">
        <v>25</v>
      </c>
    </row>
    <row r="162" customFormat="false" ht="39.75" hidden="false" customHeight="true" outlineLevel="0" collapsed="false">
      <c r="A162" s="9" t="s">
        <v>1125</v>
      </c>
      <c r="B162" s="37" t="n">
        <v>26</v>
      </c>
      <c r="C162" s="8" t="s">
        <v>17</v>
      </c>
      <c r="D162" s="22" t="s">
        <v>17</v>
      </c>
      <c r="E162" s="22" t="s">
        <v>1147</v>
      </c>
      <c r="F162" s="37" t="n">
        <v>7</v>
      </c>
      <c r="G162" s="37" t="n">
        <v>2018</v>
      </c>
      <c r="H162" s="22" t="s">
        <v>1127</v>
      </c>
      <c r="I162" s="22" t="s">
        <v>584</v>
      </c>
      <c r="J162" s="22" t="s">
        <v>66</v>
      </c>
      <c r="K162" s="22" t="s">
        <v>1148</v>
      </c>
      <c r="L162" s="22" t="s">
        <v>1149</v>
      </c>
      <c r="M162" s="22" t="s">
        <v>1150</v>
      </c>
      <c r="N162" s="20" t="s">
        <v>1130</v>
      </c>
      <c r="O162" s="8" t="n">
        <v>90</v>
      </c>
      <c r="P162" s="8" t="n">
        <v>105.3</v>
      </c>
      <c r="Q162" s="8" t="s">
        <v>38</v>
      </c>
    </row>
    <row r="163" customFormat="false" ht="39.75" hidden="false" customHeight="true" outlineLevel="0" collapsed="false">
      <c r="A163" s="9" t="s">
        <v>1125</v>
      </c>
      <c r="B163" s="37" t="n">
        <v>26</v>
      </c>
      <c r="C163" s="8" t="s">
        <v>17</v>
      </c>
      <c r="D163" s="22" t="s">
        <v>17</v>
      </c>
      <c r="E163" s="22" t="s">
        <v>1151</v>
      </c>
      <c r="F163" s="37" t="n">
        <v>8</v>
      </c>
      <c r="G163" s="37" t="n">
        <v>2018</v>
      </c>
      <c r="H163" s="22" t="s">
        <v>1127</v>
      </c>
      <c r="I163" s="22" t="s">
        <v>584</v>
      </c>
      <c r="J163" s="22" t="s">
        <v>66</v>
      </c>
      <c r="K163" s="22" t="s">
        <v>1152</v>
      </c>
      <c r="L163" s="22" t="s">
        <v>1153</v>
      </c>
      <c r="M163" s="22" t="s">
        <v>1154</v>
      </c>
      <c r="N163" s="20" t="s">
        <v>1130</v>
      </c>
      <c r="O163" s="8" t="n">
        <v>60</v>
      </c>
      <c r="P163" s="8" t="n">
        <v>70.2</v>
      </c>
      <c r="Q163" s="8" t="s">
        <v>110</v>
      </c>
    </row>
    <row r="164" customFormat="false" ht="39.75" hidden="false" customHeight="true" outlineLevel="0" collapsed="false">
      <c r="A164" s="9" t="s">
        <v>1125</v>
      </c>
      <c r="B164" s="37" t="n">
        <v>26</v>
      </c>
      <c r="C164" s="8" t="s">
        <v>17</v>
      </c>
      <c r="D164" s="22" t="s">
        <v>17</v>
      </c>
      <c r="E164" s="22" t="s">
        <v>1155</v>
      </c>
      <c r="F164" s="37" t="n">
        <v>9</v>
      </c>
      <c r="G164" s="37" t="n">
        <v>2018</v>
      </c>
      <c r="H164" s="22" t="s">
        <v>1127</v>
      </c>
      <c r="I164" s="22" t="s">
        <v>209</v>
      </c>
      <c r="J164" s="22" t="s">
        <v>66</v>
      </c>
      <c r="K164" s="22" t="s">
        <v>1145</v>
      </c>
      <c r="L164" s="22" t="s">
        <v>119</v>
      </c>
      <c r="M164" s="22" t="s">
        <v>1156</v>
      </c>
      <c r="N164" s="20" t="s">
        <v>1130</v>
      </c>
      <c r="O164" s="8" t="s">
        <v>17</v>
      </c>
      <c r="P164" s="8" t="s">
        <v>17</v>
      </c>
      <c r="Q164" s="8" t="s">
        <v>119</v>
      </c>
    </row>
    <row r="165" customFormat="false" ht="39.75" hidden="false" customHeight="true" outlineLevel="0" collapsed="false">
      <c r="A165" s="9" t="s">
        <v>1125</v>
      </c>
      <c r="B165" s="37" t="n">
        <v>26</v>
      </c>
      <c r="C165" s="8" t="s">
        <v>17</v>
      </c>
      <c r="D165" s="22" t="s">
        <v>17</v>
      </c>
      <c r="E165" s="22" t="s">
        <v>1157</v>
      </c>
      <c r="F165" s="37" t="n">
        <v>10</v>
      </c>
      <c r="G165" s="37" t="n">
        <v>2018</v>
      </c>
      <c r="H165" s="22" t="s">
        <v>1127</v>
      </c>
      <c r="I165" s="22" t="s">
        <v>594</v>
      </c>
      <c r="J165" s="22" t="s">
        <v>66</v>
      </c>
      <c r="K165" s="22" t="s">
        <v>1158</v>
      </c>
      <c r="L165" s="22" t="s">
        <v>68</v>
      </c>
      <c r="M165" s="22" t="s">
        <v>1159</v>
      </c>
      <c r="N165" s="20" t="s">
        <v>1130</v>
      </c>
      <c r="O165" s="8" t="s">
        <v>17</v>
      </c>
      <c r="P165" s="8" t="s">
        <v>17</v>
      </c>
      <c r="Q165" s="8" t="s">
        <v>25</v>
      </c>
    </row>
    <row r="166" customFormat="false" ht="39.75" hidden="false" customHeight="true" outlineLevel="0" collapsed="false">
      <c r="A166" s="9" t="s">
        <v>1125</v>
      </c>
      <c r="B166" s="37" t="n">
        <v>26</v>
      </c>
      <c r="C166" s="8" t="s">
        <v>17</v>
      </c>
      <c r="D166" s="22" t="s">
        <v>17</v>
      </c>
      <c r="E166" s="22" t="s">
        <v>1160</v>
      </c>
      <c r="F166" s="37" t="n">
        <v>11</v>
      </c>
      <c r="G166" s="37" t="n">
        <v>2018</v>
      </c>
      <c r="H166" s="22" t="s">
        <v>1127</v>
      </c>
      <c r="I166" s="22" t="s">
        <v>231</v>
      </c>
      <c r="J166" s="22" t="s">
        <v>66</v>
      </c>
      <c r="K166" s="22" t="s">
        <v>1161</v>
      </c>
      <c r="L166" s="22" t="s">
        <v>1162</v>
      </c>
      <c r="M166" s="22" t="s">
        <v>1163</v>
      </c>
      <c r="N166" s="20" t="s">
        <v>1130</v>
      </c>
      <c r="O166" s="8" t="s">
        <v>17</v>
      </c>
      <c r="P166" s="8" t="s">
        <v>17</v>
      </c>
      <c r="Q166" s="8" t="s">
        <v>25</v>
      </c>
    </row>
    <row r="167" customFormat="false" ht="39.75" hidden="false" customHeight="true" outlineLevel="0" collapsed="false">
      <c r="A167" s="9" t="s">
        <v>1125</v>
      </c>
      <c r="B167" s="37" t="n">
        <v>26</v>
      </c>
      <c r="C167" s="8" t="s">
        <v>17</v>
      </c>
      <c r="D167" s="22" t="s">
        <v>17</v>
      </c>
      <c r="E167" s="22" t="s">
        <v>1164</v>
      </c>
      <c r="F167" s="37" t="n">
        <v>12</v>
      </c>
      <c r="G167" s="37" t="n">
        <v>2018</v>
      </c>
      <c r="H167" s="22" t="s">
        <v>1127</v>
      </c>
      <c r="I167" s="22" t="s">
        <v>231</v>
      </c>
      <c r="J167" s="22" t="s">
        <v>66</v>
      </c>
      <c r="K167" s="22" t="s">
        <v>1161</v>
      </c>
      <c r="L167" s="22" t="s">
        <v>25</v>
      </c>
      <c r="M167" s="22" t="s">
        <v>1165</v>
      </c>
      <c r="N167" s="20" t="s">
        <v>1130</v>
      </c>
      <c r="O167" s="8" t="s">
        <v>17</v>
      </c>
      <c r="P167" s="8" t="s">
        <v>17</v>
      </c>
      <c r="Q167" s="8" t="s">
        <v>25</v>
      </c>
    </row>
    <row r="168" customFormat="false" ht="39.75" hidden="false" customHeight="true" outlineLevel="0" collapsed="false">
      <c r="A168" s="9" t="s">
        <v>1125</v>
      </c>
      <c r="B168" s="37" t="n">
        <v>26</v>
      </c>
      <c r="C168" s="8" t="s">
        <v>17</v>
      </c>
      <c r="D168" s="22" t="s">
        <v>17</v>
      </c>
      <c r="E168" s="22" t="s">
        <v>1166</v>
      </c>
      <c r="F168" s="37" t="n">
        <v>13</v>
      </c>
      <c r="G168" s="37" t="n">
        <v>2018</v>
      </c>
      <c r="H168" s="22" t="s">
        <v>1127</v>
      </c>
      <c r="I168" s="22" t="s">
        <v>231</v>
      </c>
      <c r="J168" s="22" t="s">
        <v>66</v>
      </c>
      <c r="K168" s="22" t="s">
        <v>1161</v>
      </c>
      <c r="L168" s="22" t="s">
        <v>25</v>
      </c>
      <c r="M168" s="22" t="s">
        <v>1167</v>
      </c>
      <c r="N168" s="20" t="s">
        <v>1130</v>
      </c>
      <c r="O168" s="8" t="s">
        <v>17</v>
      </c>
      <c r="P168" s="8" t="s">
        <v>17</v>
      </c>
      <c r="Q168" s="8" t="s">
        <v>25</v>
      </c>
    </row>
    <row r="169" customFormat="false" ht="39.75" hidden="false" customHeight="true" outlineLevel="0" collapsed="false">
      <c r="A169" s="9" t="s">
        <v>1125</v>
      </c>
      <c r="B169" s="37" t="n">
        <v>26</v>
      </c>
      <c r="C169" s="8" t="s">
        <v>17</v>
      </c>
      <c r="D169" s="22" t="s">
        <v>17</v>
      </c>
      <c r="E169" s="22" t="s">
        <v>1168</v>
      </c>
      <c r="F169" s="37" t="n">
        <v>14</v>
      </c>
      <c r="G169" s="37" t="n">
        <v>2018</v>
      </c>
      <c r="H169" s="22" t="s">
        <v>1127</v>
      </c>
      <c r="I169" s="22" t="s">
        <v>231</v>
      </c>
      <c r="J169" s="22" t="s">
        <v>66</v>
      </c>
      <c r="K169" s="22" t="s">
        <v>1161</v>
      </c>
      <c r="L169" s="22" t="s">
        <v>38</v>
      </c>
      <c r="M169" s="22" t="s">
        <v>1169</v>
      </c>
      <c r="N169" s="20" t="s">
        <v>1130</v>
      </c>
      <c r="O169" s="8" t="s">
        <v>17</v>
      </c>
      <c r="P169" s="8" t="s">
        <v>17</v>
      </c>
      <c r="Q169" s="8" t="s">
        <v>38</v>
      </c>
    </row>
    <row r="170" customFormat="false" ht="39.75" hidden="false" customHeight="true" outlineLevel="0" collapsed="false">
      <c r="A170" s="9" t="s">
        <v>1125</v>
      </c>
      <c r="B170" s="37" t="n">
        <v>26</v>
      </c>
      <c r="C170" s="8" t="s">
        <v>17</v>
      </c>
      <c r="D170" s="22" t="s">
        <v>17</v>
      </c>
      <c r="E170" s="22" t="s">
        <v>1170</v>
      </c>
      <c r="F170" s="37" t="n">
        <v>15</v>
      </c>
      <c r="G170" s="37" t="n">
        <v>2018</v>
      </c>
      <c r="H170" s="22" t="s">
        <v>1127</v>
      </c>
      <c r="I170" s="22" t="s">
        <v>209</v>
      </c>
      <c r="J170" s="22" t="s">
        <v>66</v>
      </c>
      <c r="K170" s="22" t="s">
        <v>1145</v>
      </c>
      <c r="L170" s="22" t="s">
        <v>68</v>
      </c>
      <c r="M170" s="22" t="s">
        <v>1171</v>
      </c>
      <c r="N170" s="20" t="s">
        <v>1130</v>
      </c>
      <c r="O170" s="8" t="s">
        <v>17</v>
      </c>
      <c r="P170" s="8" t="s">
        <v>17</v>
      </c>
      <c r="Q170" s="8" t="s">
        <v>119</v>
      </c>
    </row>
    <row r="171" customFormat="false" ht="39.75" hidden="false" customHeight="true" outlineLevel="0" collapsed="false">
      <c r="A171" s="9" t="s">
        <v>1125</v>
      </c>
      <c r="B171" s="37" t="n">
        <v>26</v>
      </c>
      <c r="C171" s="8" t="s">
        <v>17</v>
      </c>
      <c r="D171" s="22" t="s">
        <v>17</v>
      </c>
      <c r="E171" s="22" t="s">
        <v>1172</v>
      </c>
      <c r="F171" s="37" t="n">
        <v>16</v>
      </c>
      <c r="G171" s="37" t="n">
        <v>2018</v>
      </c>
      <c r="H171" s="22" t="s">
        <v>1127</v>
      </c>
      <c r="I171" s="22" t="s">
        <v>584</v>
      </c>
      <c r="J171" s="22" t="s">
        <v>66</v>
      </c>
      <c r="K171" s="22" t="s">
        <v>1173</v>
      </c>
      <c r="L171" s="22" t="s">
        <v>119</v>
      </c>
      <c r="M171" s="22" t="s">
        <v>1174</v>
      </c>
      <c r="N171" s="20" t="s">
        <v>1130</v>
      </c>
      <c r="O171" s="8" t="n">
        <v>20</v>
      </c>
      <c r="P171" s="8" t="n">
        <v>23.4</v>
      </c>
      <c r="Q171" s="8" t="s">
        <v>119</v>
      </c>
    </row>
    <row r="172" customFormat="false" ht="39.75" hidden="false" customHeight="true" outlineLevel="0" collapsed="false">
      <c r="A172" s="9" t="s">
        <v>1125</v>
      </c>
      <c r="B172" s="37" t="n">
        <v>26</v>
      </c>
      <c r="C172" s="8" t="s">
        <v>17</v>
      </c>
      <c r="D172" s="22" t="s">
        <v>17</v>
      </c>
      <c r="E172" s="22" t="s">
        <v>1175</v>
      </c>
      <c r="F172" s="37" t="n">
        <v>17</v>
      </c>
      <c r="G172" s="37" t="n">
        <v>2018</v>
      </c>
      <c r="H172" s="22" t="s">
        <v>1127</v>
      </c>
      <c r="I172" s="22" t="s">
        <v>584</v>
      </c>
      <c r="J172" s="22" t="s">
        <v>66</v>
      </c>
      <c r="K172" s="22" t="s">
        <v>1176</v>
      </c>
      <c r="L172" s="22" t="s">
        <v>119</v>
      </c>
      <c r="M172" s="22" t="s">
        <v>1177</v>
      </c>
      <c r="N172" s="20" t="s">
        <v>1130</v>
      </c>
      <c r="O172" s="8" t="n">
        <v>3.6</v>
      </c>
      <c r="P172" s="8" t="n">
        <v>4.212</v>
      </c>
      <c r="Q172" s="8" t="s">
        <v>119</v>
      </c>
    </row>
    <row r="173" customFormat="false" ht="39.75" hidden="false" customHeight="true" outlineLevel="0" collapsed="false">
      <c r="A173" s="9" t="s">
        <v>1125</v>
      </c>
      <c r="B173" s="37" t="n">
        <v>26</v>
      </c>
      <c r="C173" s="8" t="s">
        <v>17</v>
      </c>
      <c r="D173" s="22" t="s">
        <v>17</v>
      </c>
      <c r="E173" s="22" t="s">
        <v>1178</v>
      </c>
      <c r="F173" s="37" t="n">
        <v>18</v>
      </c>
      <c r="G173" s="37" t="n">
        <v>2018</v>
      </c>
      <c r="H173" s="22" t="s">
        <v>1127</v>
      </c>
      <c r="I173" s="22" t="s">
        <v>584</v>
      </c>
      <c r="J173" s="22" t="s">
        <v>66</v>
      </c>
      <c r="K173" s="22" t="s">
        <v>1179</v>
      </c>
      <c r="L173" s="22" t="s">
        <v>44</v>
      </c>
      <c r="M173" s="22" t="s">
        <v>1180</v>
      </c>
      <c r="N173" s="20" t="s">
        <v>1130</v>
      </c>
      <c r="O173" s="8" t="n">
        <v>1.5</v>
      </c>
      <c r="P173" s="8" t="n">
        <v>1.755</v>
      </c>
      <c r="Q173" s="8" t="s">
        <v>44</v>
      </c>
    </row>
    <row r="174" customFormat="false" ht="39.75" hidden="false" customHeight="true" outlineLevel="0" collapsed="false">
      <c r="A174" s="9" t="s">
        <v>1125</v>
      </c>
      <c r="B174" s="37" t="n">
        <v>26</v>
      </c>
      <c r="C174" s="8" t="s">
        <v>17</v>
      </c>
      <c r="D174" s="22" t="s">
        <v>17</v>
      </c>
      <c r="E174" s="22" t="s">
        <v>1181</v>
      </c>
      <c r="F174" s="37" t="n">
        <v>19</v>
      </c>
      <c r="G174" s="37" t="n">
        <v>2018</v>
      </c>
      <c r="H174" s="22" t="s">
        <v>1127</v>
      </c>
      <c r="I174" s="22" t="s">
        <v>584</v>
      </c>
      <c r="J174" s="22" t="s">
        <v>66</v>
      </c>
      <c r="K174" s="22" t="s">
        <v>1176</v>
      </c>
      <c r="L174" s="22" t="s">
        <v>44</v>
      </c>
      <c r="M174" s="22" t="s">
        <v>1182</v>
      </c>
      <c r="N174" s="20" t="s">
        <v>1130</v>
      </c>
      <c r="O174" s="8" t="n">
        <v>3.6</v>
      </c>
      <c r="P174" s="8" t="n">
        <v>4.212</v>
      </c>
      <c r="Q174" s="8" t="s">
        <v>44</v>
      </c>
    </row>
    <row r="175" customFormat="false" ht="39.75" hidden="false" customHeight="true" outlineLevel="0" collapsed="false">
      <c r="A175" s="9" t="s">
        <v>1125</v>
      </c>
      <c r="B175" s="37" t="n">
        <v>26</v>
      </c>
      <c r="C175" s="8" t="s">
        <v>17</v>
      </c>
      <c r="D175" s="22" t="s">
        <v>17</v>
      </c>
      <c r="E175" s="22" t="s">
        <v>1183</v>
      </c>
      <c r="F175" s="37" t="n">
        <v>20</v>
      </c>
      <c r="G175" s="37" t="n">
        <v>2018</v>
      </c>
      <c r="H175" s="22" t="s">
        <v>1127</v>
      </c>
      <c r="I175" s="22" t="s">
        <v>584</v>
      </c>
      <c r="J175" s="22" t="s">
        <v>66</v>
      </c>
      <c r="K175" s="22" t="s">
        <v>1173</v>
      </c>
      <c r="L175" s="22" t="s">
        <v>68</v>
      </c>
      <c r="M175" s="22" t="s">
        <v>1184</v>
      </c>
      <c r="N175" s="20" t="s">
        <v>1130</v>
      </c>
      <c r="O175" s="8" t="n">
        <v>20</v>
      </c>
      <c r="P175" s="8" t="n">
        <v>23.4</v>
      </c>
      <c r="Q175" s="8" t="s">
        <v>25</v>
      </c>
    </row>
    <row r="176" customFormat="false" ht="39.75" hidden="false" customHeight="true" outlineLevel="0" collapsed="false">
      <c r="A176" s="9" t="s">
        <v>1125</v>
      </c>
      <c r="B176" s="37" t="n">
        <v>26</v>
      </c>
      <c r="C176" s="8" t="s">
        <v>17</v>
      </c>
      <c r="D176" s="22" t="s">
        <v>17</v>
      </c>
      <c r="E176" s="22" t="s">
        <v>1185</v>
      </c>
      <c r="F176" s="37" t="n">
        <v>21</v>
      </c>
      <c r="G176" s="37" t="n">
        <v>2018</v>
      </c>
      <c r="H176" s="22" t="s">
        <v>1127</v>
      </c>
      <c r="I176" s="22" t="s">
        <v>209</v>
      </c>
      <c r="J176" s="22" t="s">
        <v>66</v>
      </c>
      <c r="K176" s="22" t="s">
        <v>1145</v>
      </c>
      <c r="L176" s="22" t="s">
        <v>110</v>
      </c>
      <c r="M176" s="22" t="s">
        <v>1186</v>
      </c>
      <c r="N176" s="20" t="s">
        <v>1130</v>
      </c>
      <c r="O176" s="8" t="s">
        <v>17</v>
      </c>
      <c r="P176" s="22" t="s">
        <v>17</v>
      </c>
      <c r="Q176" s="8" t="s">
        <v>110</v>
      </c>
    </row>
    <row r="177" customFormat="false" ht="39.75" hidden="false" customHeight="true" outlineLevel="0" collapsed="false">
      <c r="A177" s="9" t="s">
        <v>1125</v>
      </c>
      <c r="B177" s="37" t="n">
        <v>26</v>
      </c>
      <c r="C177" s="8" t="s">
        <v>17</v>
      </c>
      <c r="D177" s="22" t="s">
        <v>17</v>
      </c>
      <c r="E177" s="22" t="s">
        <v>1187</v>
      </c>
      <c r="F177" s="37" t="n">
        <v>22</v>
      </c>
      <c r="G177" s="37" t="n">
        <v>2018</v>
      </c>
      <c r="H177" s="22" t="s">
        <v>1127</v>
      </c>
      <c r="I177" s="22" t="s">
        <v>209</v>
      </c>
      <c r="J177" s="22" t="s">
        <v>66</v>
      </c>
      <c r="K177" s="22" t="s">
        <v>1188</v>
      </c>
      <c r="L177" s="22" t="s">
        <v>119</v>
      </c>
      <c r="M177" s="22" t="s">
        <v>1189</v>
      </c>
      <c r="N177" s="20" t="s">
        <v>1130</v>
      </c>
      <c r="O177" s="8" t="s">
        <v>17</v>
      </c>
      <c r="P177" s="22" t="s">
        <v>17</v>
      </c>
      <c r="Q177" s="8" t="s">
        <v>119</v>
      </c>
    </row>
    <row r="178" customFormat="false" ht="39.75" hidden="false" customHeight="true" outlineLevel="0" collapsed="false">
      <c r="A178" s="9" t="s">
        <v>1125</v>
      </c>
      <c r="B178" s="37" t="n">
        <v>26</v>
      </c>
      <c r="C178" s="8" t="s">
        <v>17</v>
      </c>
      <c r="D178" s="22" t="s">
        <v>17</v>
      </c>
      <c r="E178" s="22" t="s">
        <v>1190</v>
      </c>
      <c r="F178" s="37" t="n">
        <v>23</v>
      </c>
      <c r="G178" s="37" t="n">
        <v>2018</v>
      </c>
      <c r="H178" s="22" t="s">
        <v>1127</v>
      </c>
      <c r="I178" s="22" t="s">
        <v>594</v>
      </c>
      <c r="J178" s="22" t="s">
        <v>66</v>
      </c>
      <c r="K178" s="22" t="s">
        <v>1188</v>
      </c>
      <c r="L178" s="22" t="s">
        <v>119</v>
      </c>
      <c r="M178" s="22" t="s">
        <v>1191</v>
      </c>
      <c r="N178" s="20" t="s">
        <v>1130</v>
      </c>
      <c r="O178" s="8" t="s">
        <v>17</v>
      </c>
      <c r="P178" s="22" t="s">
        <v>17</v>
      </c>
      <c r="Q178" s="8" t="s">
        <v>119</v>
      </c>
    </row>
    <row r="179" customFormat="false" ht="39.75" hidden="false" customHeight="true" outlineLevel="0" collapsed="false">
      <c r="A179" s="9" t="s">
        <v>1192</v>
      </c>
      <c r="B179" s="37" t="n">
        <v>27</v>
      </c>
      <c r="C179" s="8" t="s">
        <v>17</v>
      </c>
      <c r="D179" s="22" t="s">
        <v>17</v>
      </c>
      <c r="E179" s="22" t="s">
        <v>1193</v>
      </c>
      <c r="F179" s="37" t="n">
        <v>1</v>
      </c>
      <c r="G179" s="37" t="n">
        <v>2023</v>
      </c>
      <c r="H179" s="22" t="s">
        <v>204</v>
      </c>
      <c r="I179" s="22" t="s">
        <v>215</v>
      </c>
      <c r="J179" s="22" t="s">
        <v>66</v>
      </c>
      <c r="K179" s="22" t="s">
        <v>1194</v>
      </c>
      <c r="L179" s="22" t="s">
        <v>1149</v>
      </c>
      <c r="M179" s="22" t="s">
        <v>1195</v>
      </c>
      <c r="N179" s="22" t="s">
        <v>1196</v>
      </c>
      <c r="O179" s="8" t="s">
        <v>17</v>
      </c>
      <c r="P179" s="22" t="s">
        <v>17</v>
      </c>
      <c r="Q179" s="8" t="s">
        <v>38</v>
      </c>
    </row>
    <row r="180" customFormat="false" ht="39.75" hidden="false" customHeight="true" outlineLevel="0" collapsed="false">
      <c r="A180" s="9" t="s">
        <v>1192</v>
      </c>
      <c r="B180" s="37" t="n">
        <v>27</v>
      </c>
      <c r="C180" s="8" t="s">
        <v>17</v>
      </c>
      <c r="D180" s="22" t="s">
        <v>17</v>
      </c>
      <c r="E180" s="22" t="s">
        <v>1197</v>
      </c>
      <c r="F180" s="37" t="n">
        <v>2</v>
      </c>
      <c r="G180" s="37" t="n">
        <v>2023</v>
      </c>
      <c r="H180" s="22" t="s">
        <v>204</v>
      </c>
      <c r="I180" s="22" t="s">
        <v>209</v>
      </c>
      <c r="J180" s="22" t="s">
        <v>66</v>
      </c>
      <c r="K180" s="22" t="s">
        <v>1194</v>
      </c>
      <c r="L180" s="22" t="s">
        <v>537</v>
      </c>
      <c r="M180" s="22" t="s">
        <v>1198</v>
      </c>
      <c r="N180" s="22" t="s">
        <v>1196</v>
      </c>
      <c r="O180" s="8" t="s">
        <v>17</v>
      </c>
      <c r="P180" s="22" t="s">
        <v>17</v>
      </c>
      <c r="Q180" s="8" t="s">
        <v>119</v>
      </c>
    </row>
    <row r="181" customFormat="false" ht="39.75" hidden="false" customHeight="true" outlineLevel="0" collapsed="false">
      <c r="A181" s="9" t="s">
        <v>1192</v>
      </c>
      <c r="B181" s="37" t="n">
        <v>27</v>
      </c>
      <c r="C181" s="8" t="s">
        <v>17</v>
      </c>
      <c r="D181" s="22" t="s">
        <v>17</v>
      </c>
      <c r="E181" s="22" t="s">
        <v>1199</v>
      </c>
      <c r="F181" s="37" t="n">
        <v>3</v>
      </c>
      <c r="G181" s="37" t="n">
        <v>2023</v>
      </c>
      <c r="H181" s="22" t="s">
        <v>1200</v>
      </c>
      <c r="I181" s="22" t="s">
        <v>584</v>
      </c>
      <c r="J181" s="22" t="s">
        <v>66</v>
      </c>
      <c r="K181" s="22" t="s">
        <v>1194</v>
      </c>
      <c r="L181" s="22" t="s">
        <v>119</v>
      </c>
      <c r="M181" s="22" t="s">
        <v>1201</v>
      </c>
      <c r="N181" s="22" t="s">
        <v>1196</v>
      </c>
      <c r="O181" s="8" t="s">
        <v>17</v>
      </c>
      <c r="P181" s="22" t="s">
        <v>17</v>
      </c>
      <c r="Q181" s="8" t="s">
        <v>119</v>
      </c>
    </row>
    <row r="182" customFormat="false" ht="39.75" hidden="false" customHeight="true" outlineLevel="0" collapsed="false">
      <c r="A182" s="9" t="s">
        <v>1192</v>
      </c>
      <c r="B182" s="37" t="n">
        <v>27</v>
      </c>
      <c r="C182" s="8" t="s">
        <v>17</v>
      </c>
      <c r="D182" s="22" t="s">
        <v>17</v>
      </c>
      <c r="E182" s="22" t="s">
        <v>1202</v>
      </c>
      <c r="F182" s="37" t="n">
        <v>4</v>
      </c>
      <c r="G182" s="37" t="n">
        <v>2023</v>
      </c>
      <c r="H182" s="22" t="s">
        <v>273</v>
      </c>
      <c r="I182" s="22" t="s">
        <v>584</v>
      </c>
      <c r="J182" s="22" t="s">
        <v>66</v>
      </c>
      <c r="K182" s="22" t="s">
        <v>1203</v>
      </c>
      <c r="L182" s="22" t="s">
        <v>119</v>
      </c>
      <c r="M182" s="22" t="s">
        <v>1204</v>
      </c>
      <c r="N182" s="22" t="s">
        <v>1196</v>
      </c>
      <c r="O182" s="8" t="s">
        <v>17</v>
      </c>
      <c r="P182" s="22" t="s">
        <v>17</v>
      </c>
      <c r="Q182" s="8" t="s">
        <v>119</v>
      </c>
    </row>
    <row r="183" customFormat="false" ht="39.75" hidden="false" customHeight="true" outlineLevel="0" collapsed="false">
      <c r="A183" s="9" t="s">
        <v>1192</v>
      </c>
      <c r="B183" s="37" t="n">
        <v>27</v>
      </c>
      <c r="C183" s="8" t="s">
        <v>17</v>
      </c>
      <c r="D183" s="22" t="s">
        <v>17</v>
      </c>
      <c r="E183" s="22" t="s">
        <v>1205</v>
      </c>
      <c r="F183" s="37" t="n">
        <v>5</v>
      </c>
      <c r="G183" s="37" t="n">
        <v>2023</v>
      </c>
      <c r="H183" s="22" t="s">
        <v>192</v>
      </c>
      <c r="I183" s="22" t="s">
        <v>584</v>
      </c>
      <c r="J183" s="22" t="s">
        <v>66</v>
      </c>
      <c r="K183" s="22" t="s">
        <v>1194</v>
      </c>
      <c r="L183" s="22" t="s">
        <v>110</v>
      </c>
      <c r="M183" s="22" t="s">
        <v>1206</v>
      </c>
      <c r="N183" s="22" t="s">
        <v>1196</v>
      </c>
      <c r="O183" s="8" t="s">
        <v>17</v>
      </c>
      <c r="P183" s="22" t="s">
        <v>17</v>
      </c>
      <c r="Q183" s="8" t="s">
        <v>110</v>
      </c>
    </row>
    <row r="184" customFormat="false" ht="39.75" hidden="false" customHeight="true" outlineLevel="0" collapsed="false">
      <c r="A184" s="9" t="s">
        <v>1192</v>
      </c>
      <c r="B184" s="37" t="n">
        <v>27</v>
      </c>
      <c r="C184" s="8" t="s">
        <v>17</v>
      </c>
      <c r="D184" s="22" t="s">
        <v>17</v>
      </c>
      <c r="E184" s="22" t="s">
        <v>1207</v>
      </c>
      <c r="F184" s="37" t="n">
        <v>6</v>
      </c>
      <c r="G184" s="37" t="n">
        <v>2023</v>
      </c>
      <c r="H184" s="22" t="s">
        <v>204</v>
      </c>
      <c r="I184" s="22" t="s">
        <v>584</v>
      </c>
      <c r="J184" s="22" t="s">
        <v>66</v>
      </c>
      <c r="K184" s="22" t="s">
        <v>1194</v>
      </c>
      <c r="L184" s="22" t="s">
        <v>1208</v>
      </c>
      <c r="M184" s="22" t="s">
        <v>1209</v>
      </c>
      <c r="N184" s="22" t="s">
        <v>1196</v>
      </c>
      <c r="O184" s="8" t="s">
        <v>17</v>
      </c>
      <c r="P184" s="22" t="s">
        <v>17</v>
      </c>
      <c r="Q184" s="8" t="s">
        <v>119</v>
      </c>
    </row>
    <row r="185" customFormat="false" ht="39.75" hidden="false" customHeight="true" outlineLevel="0" collapsed="false">
      <c r="A185" s="9" t="s">
        <v>1192</v>
      </c>
      <c r="B185" s="37" t="n">
        <v>27</v>
      </c>
      <c r="C185" s="8" t="s">
        <v>17</v>
      </c>
      <c r="D185" s="22" t="s">
        <v>17</v>
      </c>
      <c r="E185" s="22" t="s">
        <v>1210</v>
      </c>
      <c r="F185" s="37" t="n">
        <v>7</v>
      </c>
      <c r="G185" s="37" t="n">
        <v>2023</v>
      </c>
      <c r="H185" s="22" t="s">
        <v>192</v>
      </c>
      <c r="I185" s="22" t="s">
        <v>209</v>
      </c>
      <c r="J185" s="22" t="s">
        <v>66</v>
      </c>
      <c r="K185" s="22" t="s">
        <v>1194</v>
      </c>
      <c r="L185" s="22" t="s">
        <v>537</v>
      </c>
      <c r="M185" s="22" t="s">
        <v>1211</v>
      </c>
      <c r="N185" s="22" t="s">
        <v>1196</v>
      </c>
      <c r="O185" s="8" t="s">
        <v>17</v>
      </c>
      <c r="P185" s="22" t="s">
        <v>17</v>
      </c>
      <c r="Q185" s="8" t="s">
        <v>119</v>
      </c>
    </row>
    <row r="186" customFormat="false" ht="39.75" hidden="false" customHeight="true" outlineLevel="0" collapsed="false">
      <c r="A186" s="9" t="s">
        <v>1192</v>
      </c>
      <c r="B186" s="37" t="n">
        <v>27</v>
      </c>
      <c r="C186" s="8" t="s">
        <v>17</v>
      </c>
      <c r="D186" s="22" t="s">
        <v>17</v>
      </c>
      <c r="E186" s="22" t="s">
        <v>1212</v>
      </c>
      <c r="F186" s="37" t="n">
        <v>8</v>
      </c>
      <c r="G186" s="37" t="n">
        <v>2023</v>
      </c>
      <c r="H186" s="22" t="s">
        <v>192</v>
      </c>
      <c r="I186" s="22" t="s">
        <v>209</v>
      </c>
      <c r="J186" s="22" t="s">
        <v>66</v>
      </c>
      <c r="K186" s="22" t="s">
        <v>1194</v>
      </c>
      <c r="L186" s="22" t="s">
        <v>119</v>
      </c>
      <c r="M186" s="22" t="s">
        <v>1213</v>
      </c>
      <c r="N186" s="22" t="s">
        <v>1196</v>
      </c>
      <c r="O186" s="8" t="s">
        <v>17</v>
      </c>
      <c r="P186" s="22" t="s">
        <v>17</v>
      </c>
      <c r="Q186" s="8" t="s">
        <v>119</v>
      </c>
    </row>
    <row r="187" customFormat="false" ht="39.75" hidden="false" customHeight="true" outlineLevel="0" collapsed="false">
      <c r="A187" s="9" t="s">
        <v>1192</v>
      </c>
      <c r="B187" s="37" t="n">
        <v>27</v>
      </c>
      <c r="C187" s="8" t="s">
        <v>17</v>
      </c>
      <c r="D187" s="22" t="s">
        <v>17</v>
      </c>
      <c r="E187" s="22" t="s">
        <v>1214</v>
      </c>
      <c r="F187" s="37" t="n">
        <v>9</v>
      </c>
      <c r="G187" s="37" t="n">
        <v>2023</v>
      </c>
      <c r="H187" s="22" t="s">
        <v>376</v>
      </c>
      <c r="I187" s="22" t="s">
        <v>584</v>
      </c>
      <c r="J187" s="22" t="s">
        <v>66</v>
      </c>
      <c r="K187" s="22" t="s">
        <v>1194</v>
      </c>
      <c r="L187" s="22" t="s">
        <v>25</v>
      </c>
      <c r="M187" s="22" t="s">
        <v>1215</v>
      </c>
      <c r="N187" s="22" t="s">
        <v>1196</v>
      </c>
      <c r="O187" s="8" t="s">
        <v>17</v>
      </c>
      <c r="P187" s="22" t="s">
        <v>17</v>
      </c>
      <c r="Q187" s="8" t="s">
        <v>25</v>
      </c>
    </row>
    <row r="188" customFormat="false" ht="39.75" hidden="false" customHeight="true" outlineLevel="0" collapsed="false">
      <c r="A188" s="9" t="s">
        <v>1192</v>
      </c>
      <c r="B188" s="37" t="n">
        <v>27</v>
      </c>
      <c r="C188" s="8" t="s">
        <v>17</v>
      </c>
      <c r="D188" s="22" t="s">
        <v>17</v>
      </c>
      <c r="E188" s="22" t="s">
        <v>1216</v>
      </c>
      <c r="F188" s="37" t="n">
        <v>10</v>
      </c>
      <c r="G188" s="37" t="n">
        <v>2023</v>
      </c>
      <c r="H188" s="22" t="s">
        <v>192</v>
      </c>
      <c r="I188" s="22" t="s">
        <v>1135</v>
      </c>
      <c r="J188" s="22" t="s">
        <v>66</v>
      </c>
      <c r="K188" s="22" t="s">
        <v>1217</v>
      </c>
      <c r="L188" s="22" t="s">
        <v>537</v>
      </c>
      <c r="M188" s="22" t="s">
        <v>1218</v>
      </c>
      <c r="N188" s="22" t="s">
        <v>1196</v>
      </c>
      <c r="O188" s="8" t="n">
        <v>175</v>
      </c>
      <c r="P188" s="22" t="n">
        <v>204.75</v>
      </c>
      <c r="Q188" s="8" t="s">
        <v>44</v>
      </c>
    </row>
    <row r="189" customFormat="false" ht="39.75" hidden="false" customHeight="true" outlineLevel="0" collapsed="false">
      <c r="A189" s="9" t="s">
        <v>1192</v>
      </c>
      <c r="B189" s="37" t="n">
        <v>27</v>
      </c>
      <c r="C189" s="8" t="s">
        <v>17</v>
      </c>
      <c r="D189" s="22" t="s">
        <v>17</v>
      </c>
      <c r="E189" s="22" t="s">
        <v>1219</v>
      </c>
      <c r="F189" s="37" t="n">
        <v>11</v>
      </c>
      <c r="G189" s="37" t="n">
        <v>2023</v>
      </c>
      <c r="H189" s="22" t="s">
        <v>192</v>
      </c>
      <c r="I189" s="22" t="s">
        <v>1135</v>
      </c>
      <c r="J189" s="22" t="s">
        <v>66</v>
      </c>
      <c r="K189" s="22" t="s">
        <v>1217</v>
      </c>
      <c r="L189" s="22" t="s">
        <v>119</v>
      </c>
      <c r="M189" s="22" t="s">
        <v>1220</v>
      </c>
      <c r="N189" s="22" t="s">
        <v>1196</v>
      </c>
      <c r="O189" s="8" t="n">
        <v>175</v>
      </c>
      <c r="P189" s="22" t="n">
        <v>204.75</v>
      </c>
      <c r="Q189" s="8" t="s">
        <v>119</v>
      </c>
    </row>
    <row r="190" customFormat="false" ht="39.75" hidden="false" customHeight="true" outlineLevel="0" collapsed="false">
      <c r="A190" s="9" t="s">
        <v>1192</v>
      </c>
      <c r="B190" s="37" t="n">
        <v>27</v>
      </c>
      <c r="C190" s="8" t="s">
        <v>17</v>
      </c>
      <c r="D190" s="22" t="s">
        <v>17</v>
      </c>
      <c r="E190" s="22" t="s">
        <v>1221</v>
      </c>
      <c r="F190" s="37" t="n">
        <v>12</v>
      </c>
      <c r="G190" s="37" t="n">
        <v>2023</v>
      </c>
      <c r="H190" s="22" t="s">
        <v>18</v>
      </c>
      <c r="I190" s="22" t="s">
        <v>1135</v>
      </c>
      <c r="J190" s="22" t="s">
        <v>66</v>
      </c>
      <c r="K190" s="22" t="s">
        <v>1222</v>
      </c>
      <c r="L190" s="22" t="s">
        <v>119</v>
      </c>
      <c r="M190" s="22" t="s">
        <v>1223</v>
      </c>
      <c r="N190" s="22" t="s">
        <v>1196</v>
      </c>
      <c r="O190" s="8" t="n">
        <v>50</v>
      </c>
      <c r="P190" s="22" t="n">
        <v>58.5</v>
      </c>
      <c r="Q190" s="8" t="s">
        <v>119</v>
      </c>
    </row>
    <row r="191" customFormat="false" ht="39.75" hidden="false" customHeight="true" outlineLevel="0" collapsed="false">
      <c r="A191" s="9" t="s">
        <v>1192</v>
      </c>
      <c r="B191" s="37" t="n">
        <v>27</v>
      </c>
      <c r="C191" s="8" t="s">
        <v>17</v>
      </c>
      <c r="D191" s="22" t="s">
        <v>17</v>
      </c>
      <c r="E191" s="22" t="s">
        <v>1224</v>
      </c>
      <c r="F191" s="37" t="n">
        <v>13</v>
      </c>
      <c r="G191" s="37" t="n">
        <v>2023</v>
      </c>
      <c r="H191" s="22" t="s">
        <v>204</v>
      </c>
      <c r="I191" s="22" t="s">
        <v>163</v>
      </c>
      <c r="J191" s="22" t="s">
        <v>66</v>
      </c>
      <c r="K191" s="22" t="s">
        <v>1225</v>
      </c>
      <c r="L191" s="22" t="s">
        <v>537</v>
      </c>
      <c r="M191" s="22" t="s">
        <v>1226</v>
      </c>
      <c r="N191" s="22" t="s">
        <v>1196</v>
      </c>
      <c r="O191" s="8" t="n">
        <v>26.4</v>
      </c>
      <c r="P191" s="22" t="n">
        <v>30.888</v>
      </c>
      <c r="Q191" s="8" t="s">
        <v>44</v>
      </c>
    </row>
    <row r="192" customFormat="false" ht="39.75" hidden="false" customHeight="true" outlineLevel="0" collapsed="false">
      <c r="A192" s="9" t="s">
        <v>1192</v>
      </c>
      <c r="B192" s="37" t="n">
        <v>27</v>
      </c>
      <c r="C192" s="8" t="s">
        <v>17</v>
      </c>
      <c r="D192" s="22" t="s">
        <v>17</v>
      </c>
      <c r="E192" s="22" t="s">
        <v>1157</v>
      </c>
      <c r="F192" s="37" t="n">
        <v>14</v>
      </c>
      <c r="G192" s="37" t="n">
        <v>2023</v>
      </c>
      <c r="H192" s="22" t="s">
        <v>204</v>
      </c>
      <c r="I192" s="22" t="s">
        <v>594</v>
      </c>
      <c r="J192" s="22" t="s">
        <v>66</v>
      </c>
      <c r="K192" s="22" t="s">
        <v>1194</v>
      </c>
      <c r="L192" s="22" t="s">
        <v>1208</v>
      </c>
      <c r="M192" s="22" t="s">
        <v>1227</v>
      </c>
      <c r="N192" s="22" t="s">
        <v>1196</v>
      </c>
      <c r="O192" s="8" t="s">
        <v>17</v>
      </c>
      <c r="P192" s="22" t="s">
        <v>17</v>
      </c>
      <c r="Q192" s="8" t="s">
        <v>119</v>
      </c>
    </row>
    <row r="193" customFormat="false" ht="39.75" hidden="false" customHeight="true" outlineLevel="0" collapsed="false">
      <c r="A193" s="9" t="s">
        <v>1192</v>
      </c>
      <c r="B193" s="37" t="n">
        <v>27</v>
      </c>
      <c r="C193" s="8" t="s">
        <v>17</v>
      </c>
      <c r="D193" s="22" t="s">
        <v>17</v>
      </c>
      <c r="E193" s="22" t="s">
        <v>1228</v>
      </c>
      <c r="F193" s="37" t="n">
        <v>15</v>
      </c>
      <c r="G193" s="37" t="n">
        <v>2023</v>
      </c>
      <c r="H193" s="22" t="s">
        <v>192</v>
      </c>
      <c r="I193" s="22" t="s">
        <v>209</v>
      </c>
      <c r="J193" s="22" t="s">
        <v>66</v>
      </c>
      <c r="K193" s="22" t="s">
        <v>1194</v>
      </c>
      <c r="L193" s="22" t="s">
        <v>110</v>
      </c>
      <c r="M193" s="22" t="s">
        <v>1229</v>
      </c>
      <c r="N193" s="22" t="s">
        <v>1196</v>
      </c>
      <c r="O193" s="8" t="s">
        <v>17</v>
      </c>
      <c r="P193" s="22" t="s">
        <v>17</v>
      </c>
      <c r="Q193" s="8" t="s">
        <v>110</v>
      </c>
    </row>
    <row r="194" customFormat="false" ht="39.75" hidden="false" customHeight="true" outlineLevel="0" collapsed="false">
      <c r="A194" s="9" t="s">
        <v>1192</v>
      </c>
      <c r="B194" s="37" t="n">
        <v>27</v>
      </c>
      <c r="C194" s="8" t="s">
        <v>17</v>
      </c>
      <c r="D194" s="22" t="s">
        <v>17</v>
      </c>
      <c r="E194" s="22" t="s">
        <v>1230</v>
      </c>
      <c r="F194" s="37" t="n">
        <v>16</v>
      </c>
      <c r="G194" s="37" t="n">
        <v>2023</v>
      </c>
      <c r="H194" s="22" t="s">
        <v>192</v>
      </c>
      <c r="I194" s="22" t="s">
        <v>584</v>
      </c>
      <c r="J194" s="22" t="s">
        <v>66</v>
      </c>
      <c r="K194" s="22" t="s">
        <v>1194</v>
      </c>
      <c r="L194" s="22" t="s">
        <v>1208</v>
      </c>
      <c r="M194" s="22" t="s">
        <v>1231</v>
      </c>
      <c r="N194" s="22" t="s">
        <v>1196</v>
      </c>
      <c r="O194" s="8" t="s">
        <v>17</v>
      </c>
      <c r="P194" s="22" t="s">
        <v>17</v>
      </c>
      <c r="Q194" s="8" t="s">
        <v>119</v>
      </c>
    </row>
    <row r="195" customFormat="false" ht="39.75" hidden="false" customHeight="true" outlineLevel="0" collapsed="false">
      <c r="A195" s="9" t="s">
        <v>1192</v>
      </c>
      <c r="B195" s="37" t="n">
        <v>27</v>
      </c>
      <c r="C195" s="8" t="s">
        <v>17</v>
      </c>
      <c r="D195" s="22" t="s">
        <v>17</v>
      </c>
      <c r="E195" s="22" t="s">
        <v>1232</v>
      </c>
      <c r="F195" s="37" t="n">
        <v>17</v>
      </c>
      <c r="G195" s="37" t="n">
        <v>2023</v>
      </c>
      <c r="H195" s="22" t="s">
        <v>192</v>
      </c>
      <c r="I195" s="22" t="s">
        <v>1114</v>
      </c>
      <c r="J195" s="22" t="s">
        <v>66</v>
      </c>
      <c r="K195" s="22" t="s">
        <v>1194</v>
      </c>
      <c r="L195" s="22" t="s">
        <v>119</v>
      </c>
      <c r="M195" s="22" t="s">
        <v>1233</v>
      </c>
      <c r="N195" s="22" t="s">
        <v>1196</v>
      </c>
      <c r="O195" s="8" t="s">
        <v>17</v>
      </c>
      <c r="P195" s="22" t="s">
        <v>17</v>
      </c>
      <c r="Q195" s="8" t="s">
        <v>119</v>
      </c>
    </row>
    <row r="196" customFormat="false" ht="39.75" hidden="false" customHeight="true" outlineLevel="0" collapsed="false">
      <c r="A196" s="9" t="s">
        <v>1192</v>
      </c>
      <c r="B196" s="37" t="n">
        <v>27</v>
      </c>
      <c r="C196" s="8" t="s">
        <v>17</v>
      </c>
      <c r="D196" s="22" t="s">
        <v>17</v>
      </c>
      <c r="E196" s="22" t="s">
        <v>1234</v>
      </c>
      <c r="F196" s="37" t="n">
        <v>18</v>
      </c>
      <c r="G196" s="37" t="n">
        <v>2023</v>
      </c>
      <c r="H196" s="22" t="s">
        <v>192</v>
      </c>
      <c r="I196" s="22" t="s">
        <v>1114</v>
      </c>
      <c r="J196" s="22" t="s">
        <v>66</v>
      </c>
      <c r="K196" s="22" t="s">
        <v>1194</v>
      </c>
      <c r="L196" s="22" t="s">
        <v>1235</v>
      </c>
      <c r="M196" s="22" t="s">
        <v>1236</v>
      </c>
      <c r="N196" s="22" t="s">
        <v>1196</v>
      </c>
      <c r="O196" s="8" t="s">
        <v>17</v>
      </c>
      <c r="P196" s="22" t="s">
        <v>17</v>
      </c>
      <c r="Q196" s="8"/>
    </row>
    <row r="197" customFormat="false" ht="39.75" hidden="false" customHeight="true" outlineLevel="0" collapsed="false">
      <c r="A197" s="9" t="s">
        <v>1192</v>
      </c>
      <c r="B197" s="37" t="n">
        <v>27</v>
      </c>
      <c r="C197" s="8" t="s">
        <v>17</v>
      </c>
      <c r="D197" s="22" t="s">
        <v>17</v>
      </c>
      <c r="E197" s="22" t="s">
        <v>1237</v>
      </c>
      <c r="F197" s="37" t="n">
        <v>19</v>
      </c>
      <c r="G197" s="37" t="n">
        <v>2023</v>
      </c>
      <c r="H197" s="22" t="s">
        <v>1200</v>
      </c>
      <c r="I197" s="22" t="s">
        <v>1238</v>
      </c>
      <c r="J197" s="22" t="s">
        <v>66</v>
      </c>
      <c r="K197" s="22" t="s">
        <v>1239</v>
      </c>
      <c r="L197" s="22" t="s">
        <v>25</v>
      </c>
      <c r="M197" s="22" t="s">
        <v>1240</v>
      </c>
      <c r="N197" s="22" t="s">
        <v>1196</v>
      </c>
      <c r="O197" s="8" t="s">
        <v>17</v>
      </c>
      <c r="P197" s="22" t="s">
        <v>17</v>
      </c>
      <c r="Q197" s="8" t="s">
        <v>25</v>
      </c>
    </row>
    <row r="198" customFormat="false" ht="39.75" hidden="false" customHeight="true" outlineLevel="0" collapsed="false">
      <c r="A198" s="9" t="s">
        <v>1192</v>
      </c>
      <c r="B198" s="37" t="n">
        <v>27</v>
      </c>
      <c r="C198" s="8" t="s">
        <v>17</v>
      </c>
      <c r="D198" s="22" t="s">
        <v>17</v>
      </c>
      <c r="E198" s="22" t="s">
        <v>1241</v>
      </c>
      <c r="F198" s="37" t="n">
        <v>20</v>
      </c>
      <c r="G198" s="37" t="n">
        <v>2023</v>
      </c>
      <c r="H198" s="22" t="s">
        <v>204</v>
      </c>
      <c r="I198" s="22" t="s">
        <v>1242</v>
      </c>
      <c r="J198" s="22" t="s">
        <v>66</v>
      </c>
      <c r="K198" s="22" t="s">
        <v>1194</v>
      </c>
      <c r="L198" s="22" t="s">
        <v>119</v>
      </c>
      <c r="M198" s="22" t="s">
        <v>1243</v>
      </c>
      <c r="N198" s="22" t="s">
        <v>1196</v>
      </c>
      <c r="O198" s="8" t="s">
        <v>17</v>
      </c>
      <c r="P198" s="22" t="s">
        <v>17</v>
      </c>
      <c r="Q198" s="8" t="s">
        <v>119</v>
      </c>
    </row>
    <row r="199" customFormat="false" ht="39.75" hidden="false" customHeight="true" outlineLevel="0" collapsed="false">
      <c r="A199" s="9" t="s">
        <v>1192</v>
      </c>
      <c r="B199" s="37" t="n">
        <v>27</v>
      </c>
      <c r="C199" s="8" t="s">
        <v>17</v>
      </c>
      <c r="D199" s="22" t="s">
        <v>17</v>
      </c>
      <c r="E199" s="22" t="s">
        <v>1244</v>
      </c>
      <c r="F199" s="37" t="n">
        <v>21</v>
      </c>
      <c r="G199" s="37" t="n">
        <v>2023</v>
      </c>
      <c r="H199" s="22" t="s">
        <v>192</v>
      </c>
      <c r="I199" s="22" t="s">
        <v>1245</v>
      </c>
      <c r="J199" s="22" t="s">
        <v>66</v>
      </c>
      <c r="K199" s="22" t="s">
        <v>1194</v>
      </c>
      <c r="L199" s="22" t="s">
        <v>537</v>
      </c>
      <c r="M199" s="22" t="s">
        <v>1246</v>
      </c>
      <c r="N199" s="22" t="s">
        <v>1196</v>
      </c>
      <c r="O199" s="8" t="s">
        <v>17</v>
      </c>
      <c r="P199" s="22" t="s">
        <v>17</v>
      </c>
      <c r="Q199" s="8" t="s">
        <v>44</v>
      </c>
    </row>
    <row r="200" customFormat="false" ht="39.75" hidden="false" customHeight="true" outlineLevel="0" collapsed="false">
      <c r="A200" s="9" t="s">
        <v>1192</v>
      </c>
      <c r="B200" s="37" t="n">
        <v>27</v>
      </c>
      <c r="C200" s="8" t="s">
        <v>17</v>
      </c>
      <c r="D200" s="22" t="s">
        <v>17</v>
      </c>
      <c r="E200" s="22" t="s">
        <v>1247</v>
      </c>
      <c r="F200" s="37" t="n">
        <v>22</v>
      </c>
      <c r="G200" s="37" t="n">
        <v>2023</v>
      </c>
      <c r="H200" s="22" t="s">
        <v>192</v>
      </c>
      <c r="I200" s="22" t="s">
        <v>1248</v>
      </c>
      <c r="J200" s="22" t="s">
        <v>66</v>
      </c>
      <c r="K200" s="22" t="s">
        <v>1194</v>
      </c>
      <c r="L200" s="22" t="s">
        <v>44</v>
      </c>
      <c r="M200" s="22" t="s">
        <v>1249</v>
      </c>
      <c r="N200" s="22" t="s">
        <v>1196</v>
      </c>
      <c r="O200" s="8" t="s">
        <v>17</v>
      </c>
      <c r="P200" s="22" t="s">
        <v>17</v>
      </c>
      <c r="Q200" s="8" t="s">
        <v>44</v>
      </c>
    </row>
    <row r="201" customFormat="false" ht="39.75" hidden="false" customHeight="true" outlineLevel="0" collapsed="false">
      <c r="A201" s="9" t="s">
        <v>1192</v>
      </c>
      <c r="B201" s="37" t="n">
        <v>27</v>
      </c>
      <c r="C201" s="8" t="s">
        <v>17</v>
      </c>
      <c r="D201" s="22" t="s">
        <v>17</v>
      </c>
      <c r="E201" s="22" t="s">
        <v>1250</v>
      </c>
      <c r="F201" s="37" t="n">
        <v>23</v>
      </c>
      <c r="G201" s="37" t="n">
        <v>2023</v>
      </c>
      <c r="H201" s="22" t="s">
        <v>204</v>
      </c>
      <c r="I201" s="22" t="s">
        <v>1251</v>
      </c>
      <c r="J201" s="22" t="s">
        <v>66</v>
      </c>
      <c r="K201" s="22" t="s">
        <v>1194</v>
      </c>
      <c r="L201" s="22" t="s">
        <v>38</v>
      </c>
      <c r="M201" s="22" t="s">
        <v>1252</v>
      </c>
      <c r="N201" s="22" t="s">
        <v>1196</v>
      </c>
      <c r="O201" s="8" t="s">
        <v>17</v>
      </c>
      <c r="P201" s="22" t="s">
        <v>17</v>
      </c>
      <c r="Q201" s="8" t="s">
        <v>38</v>
      </c>
    </row>
    <row r="202" customFormat="false" ht="39.75" hidden="false" customHeight="true" outlineLevel="0" collapsed="false">
      <c r="A202" s="9" t="s">
        <v>208</v>
      </c>
      <c r="B202" s="37" t="n">
        <v>28</v>
      </c>
      <c r="C202" s="22" t="s">
        <v>17</v>
      </c>
      <c r="D202" s="22" t="s">
        <v>17</v>
      </c>
      <c r="E202" s="22" t="s">
        <v>1253</v>
      </c>
      <c r="F202" s="37" t="n">
        <v>1</v>
      </c>
      <c r="G202" s="37" t="n">
        <v>2023</v>
      </c>
      <c r="H202" s="22" t="s">
        <v>109</v>
      </c>
      <c r="I202" s="22" t="s">
        <v>209</v>
      </c>
      <c r="J202" s="22" t="s">
        <v>66</v>
      </c>
      <c r="K202" s="22" t="s">
        <v>487</v>
      </c>
      <c r="L202" s="22" t="s">
        <v>1254</v>
      </c>
      <c r="M202" s="22" t="s">
        <v>1255</v>
      </c>
      <c r="N202" s="22" t="s">
        <v>1256</v>
      </c>
      <c r="O202" s="8" t="s">
        <v>17</v>
      </c>
      <c r="P202" s="22" t="s">
        <v>17</v>
      </c>
      <c r="Q202" s="8" t="s">
        <v>25</v>
      </c>
    </row>
    <row r="203" customFormat="false" ht="39.75" hidden="false" customHeight="true" outlineLevel="0" collapsed="false">
      <c r="A203" s="9" t="s">
        <v>208</v>
      </c>
      <c r="B203" s="37" t="n">
        <v>28</v>
      </c>
      <c r="C203" s="22" t="s">
        <v>17</v>
      </c>
      <c r="D203" s="22" t="s">
        <v>17</v>
      </c>
      <c r="E203" s="22" t="s">
        <v>1257</v>
      </c>
      <c r="F203" s="37" t="n">
        <v>2</v>
      </c>
      <c r="G203" s="37" t="n">
        <v>2023</v>
      </c>
      <c r="H203" s="22" t="s">
        <v>109</v>
      </c>
      <c r="I203" s="22" t="s">
        <v>209</v>
      </c>
      <c r="J203" s="22" t="s">
        <v>66</v>
      </c>
      <c r="K203" s="22" t="s">
        <v>599</v>
      </c>
      <c r="L203" s="22" t="s">
        <v>25</v>
      </c>
      <c r="M203" s="22" t="s">
        <v>1258</v>
      </c>
      <c r="N203" s="22" t="s">
        <v>1259</v>
      </c>
      <c r="O203" s="8" t="n">
        <v>2900</v>
      </c>
      <c r="P203" s="22" t="n">
        <v>3393</v>
      </c>
      <c r="Q203" s="8" t="s">
        <v>25</v>
      </c>
    </row>
    <row r="204" customFormat="false" ht="39.75" hidden="false" customHeight="true" outlineLevel="0" collapsed="false">
      <c r="A204" s="9" t="s">
        <v>208</v>
      </c>
      <c r="B204" s="37" t="n">
        <v>28</v>
      </c>
      <c r="C204" s="22" t="s">
        <v>17</v>
      </c>
      <c r="D204" s="22" t="s">
        <v>17</v>
      </c>
      <c r="E204" s="22" t="s">
        <v>1260</v>
      </c>
      <c r="F204" s="37" t="n">
        <v>3</v>
      </c>
      <c r="G204" s="37" t="n">
        <v>2023</v>
      </c>
      <c r="H204" s="22" t="s">
        <v>109</v>
      </c>
      <c r="I204" s="22" t="s">
        <v>209</v>
      </c>
      <c r="J204" s="22" t="s">
        <v>66</v>
      </c>
      <c r="K204" s="22" t="s">
        <v>1261</v>
      </c>
      <c r="L204" s="22" t="s">
        <v>110</v>
      </c>
      <c r="M204" s="22" t="s">
        <v>1262</v>
      </c>
      <c r="N204" s="22" t="s">
        <v>1263</v>
      </c>
      <c r="O204" s="8" t="n">
        <v>120</v>
      </c>
      <c r="P204" s="22" t="n">
        <v>140.4</v>
      </c>
      <c r="Q204" s="8" t="s">
        <v>110</v>
      </c>
    </row>
    <row r="205" customFormat="false" ht="39.75" hidden="false" customHeight="true" outlineLevel="0" collapsed="false">
      <c r="A205" s="9" t="s">
        <v>208</v>
      </c>
      <c r="B205" s="37" t="n">
        <v>28</v>
      </c>
      <c r="C205" s="22" t="s">
        <v>17</v>
      </c>
      <c r="D205" s="22" t="s">
        <v>17</v>
      </c>
      <c r="E205" s="22" t="s">
        <v>1264</v>
      </c>
      <c r="F205" s="37" t="n">
        <v>4</v>
      </c>
      <c r="G205" s="37" t="n">
        <v>2022</v>
      </c>
      <c r="H205" s="22" t="s">
        <v>53</v>
      </c>
      <c r="I205" s="22" t="s">
        <v>209</v>
      </c>
      <c r="J205" s="22" t="s">
        <v>535</v>
      </c>
      <c r="K205" s="22" t="s">
        <v>1265</v>
      </c>
      <c r="L205" s="22" t="s">
        <v>119</v>
      </c>
      <c r="M205" s="22" t="s">
        <v>1266</v>
      </c>
      <c r="N205" s="22" t="s">
        <v>1267</v>
      </c>
      <c r="O205" s="8" t="n">
        <v>39</v>
      </c>
      <c r="P205" s="22" t="n">
        <v>45.63</v>
      </c>
      <c r="Q205" s="8" t="s">
        <v>119</v>
      </c>
    </row>
    <row r="206" customFormat="false" ht="39.75" hidden="false" customHeight="true" outlineLevel="0" collapsed="false">
      <c r="A206" s="9" t="s">
        <v>208</v>
      </c>
      <c r="B206" s="37" t="n">
        <v>28</v>
      </c>
      <c r="C206" s="22" t="s">
        <v>17</v>
      </c>
      <c r="D206" s="22" t="s">
        <v>17</v>
      </c>
      <c r="E206" s="22" t="s">
        <v>1268</v>
      </c>
      <c r="F206" s="37" t="n">
        <v>5</v>
      </c>
      <c r="G206" s="37" t="n">
        <v>2022</v>
      </c>
      <c r="H206" s="22" t="s">
        <v>53</v>
      </c>
      <c r="I206" s="22" t="s">
        <v>209</v>
      </c>
      <c r="J206" s="22" t="s">
        <v>535</v>
      </c>
      <c r="K206" s="22" t="s">
        <v>1269</v>
      </c>
      <c r="L206" s="22" t="s">
        <v>119</v>
      </c>
      <c r="M206" s="22" t="s">
        <v>1270</v>
      </c>
      <c r="N206" s="22" t="s">
        <v>1267</v>
      </c>
      <c r="O206" s="8" t="n">
        <v>47</v>
      </c>
      <c r="P206" s="22" t="n">
        <v>54.99</v>
      </c>
      <c r="Q206" s="8" t="s">
        <v>119</v>
      </c>
    </row>
    <row r="207" customFormat="false" ht="39.75" hidden="false" customHeight="true" outlineLevel="0" collapsed="false">
      <c r="A207" s="9" t="s">
        <v>208</v>
      </c>
      <c r="B207" s="37" t="n">
        <v>28</v>
      </c>
      <c r="C207" s="22" t="s">
        <v>17</v>
      </c>
      <c r="D207" s="22" t="s">
        <v>17</v>
      </c>
      <c r="E207" s="22" t="s">
        <v>1271</v>
      </c>
      <c r="F207" s="37" t="n">
        <v>6</v>
      </c>
      <c r="G207" s="37" t="n">
        <v>2022</v>
      </c>
      <c r="H207" s="22" t="s">
        <v>53</v>
      </c>
      <c r="I207" s="22" t="s">
        <v>209</v>
      </c>
      <c r="J207" s="22" t="s">
        <v>535</v>
      </c>
      <c r="K207" s="22" t="s">
        <v>1272</v>
      </c>
      <c r="L207" s="22" t="s">
        <v>316</v>
      </c>
      <c r="M207" s="22" t="s">
        <v>1273</v>
      </c>
      <c r="N207" s="22" t="s">
        <v>1274</v>
      </c>
      <c r="O207" s="8" t="n">
        <v>50</v>
      </c>
      <c r="P207" s="22" t="n">
        <v>58.5</v>
      </c>
      <c r="Q207" s="8" t="s">
        <v>316</v>
      </c>
    </row>
    <row r="208" customFormat="false" ht="39.75" hidden="false" customHeight="true" outlineLevel="0" collapsed="false">
      <c r="A208" s="9" t="s">
        <v>224</v>
      </c>
      <c r="B208" s="9" t="n">
        <v>31</v>
      </c>
      <c r="C208" s="22" t="s">
        <v>17</v>
      </c>
      <c r="D208" s="22" t="s">
        <v>17</v>
      </c>
      <c r="E208" s="22" t="s">
        <v>1275</v>
      </c>
      <c r="F208" s="37" t="n">
        <v>1</v>
      </c>
      <c r="G208" s="37" t="n">
        <v>2014</v>
      </c>
      <c r="H208" s="22" t="s">
        <v>1276</v>
      </c>
      <c r="I208" s="22" t="s">
        <v>209</v>
      </c>
      <c r="J208" s="22" t="s">
        <v>66</v>
      </c>
      <c r="K208" s="22" t="s">
        <v>1277</v>
      </c>
      <c r="L208" s="22" t="s">
        <v>119</v>
      </c>
      <c r="M208" s="22" t="s">
        <v>1278</v>
      </c>
      <c r="N208" s="22" t="s">
        <v>1279</v>
      </c>
      <c r="O208" s="8" t="n">
        <v>360.1</v>
      </c>
      <c r="P208" s="22" t="n">
        <v>421.317</v>
      </c>
      <c r="Q208" s="8" t="s">
        <v>119</v>
      </c>
    </row>
    <row r="209" customFormat="false" ht="39.75" hidden="false" customHeight="true" outlineLevel="0" collapsed="false">
      <c r="A209" s="9" t="s">
        <v>218</v>
      </c>
      <c r="B209" s="9" t="n">
        <v>30</v>
      </c>
      <c r="C209" s="22" t="s">
        <v>17</v>
      </c>
      <c r="D209" s="22" t="s">
        <v>17</v>
      </c>
      <c r="E209" s="22" t="s">
        <v>1280</v>
      </c>
      <c r="F209" s="37" t="n">
        <v>1</v>
      </c>
      <c r="G209" s="37" t="n">
        <v>2018</v>
      </c>
      <c r="H209" s="22" t="s">
        <v>219</v>
      </c>
      <c r="I209" s="22" t="s">
        <v>209</v>
      </c>
      <c r="J209" s="22" t="s">
        <v>66</v>
      </c>
      <c r="K209" s="22" t="s">
        <v>1281</v>
      </c>
      <c r="L209" s="22" t="s">
        <v>119</v>
      </c>
      <c r="M209" s="22" t="s">
        <v>1282</v>
      </c>
      <c r="N209" s="22" t="s">
        <v>1283</v>
      </c>
      <c r="O209" s="8" t="n">
        <v>35</v>
      </c>
      <c r="P209" s="22" t="n">
        <v>40.95</v>
      </c>
      <c r="Q209" s="8" t="s">
        <v>119</v>
      </c>
    </row>
    <row r="210" customFormat="false" ht="39.75" hidden="false" customHeight="true" outlineLevel="0" collapsed="false">
      <c r="A210" s="9" t="s">
        <v>218</v>
      </c>
      <c r="B210" s="9" t="n">
        <v>30</v>
      </c>
      <c r="C210" s="22" t="s">
        <v>17</v>
      </c>
      <c r="D210" s="22" t="s">
        <v>17</v>
      </c>
      <c r="E210" s="22" t="s">
        <v>1284</v>
      </c>
      <c r="F210" s="37" t="n">
        <v>3</v>
      </c>
      <c r="G210" s="37" t="n">
        <v>2019</v>
      </c>
      <c r="H210" s="22" t="s">
        <v>1285</v>
      </c>
      <c r="I210" s="22" t="s">
        <v>209</v>
      </c>
      <c r="J210" s="22" t="s">
        <v>66</v>
      </c>
      <c r="K210" s="22" t="s">
        <v>1281</v>
      </c>
      <c r="L210" s="22" t="s">
        <v>25</v>
      </c>
      <c r="M210" s="22" t="s">
        <v>1286</v>
      </c>
      <c r="N210" s="22" t="s">
        <v>1287</v>
      </c>
      <c r="O210" s="8" t="n">
        <v>35</v>
      </c>
      <c r="P210" s="22" t="n">
        <v>40.95</v>
      </c>
      <c r="Q210" s="8" t="s">
        <v>25</v>
      </c>
    </row>
    <row r="211" customFormat="false" ht="39.75" hidden="false" customHeight="true" outlineLevel="0" collapsed="false">
      <c r="A211" s="9" t="s">
        <v>218</v>
      </c>
      <c r="B211" s="9" t="n">
        <v>30</v>
      </c>
      <c r="C211" s="22" t="s">
        <v>17</v>
      </c>
      <c r="D211" s="22" t="s">
        <v>17</v>
      </c>
      <c r="E211" s="22" t="s">
        <v>1288</v>
      </c>
      <c r="F211" s="37" t="n">
        <v>4</v>
      </c>
      <c r="G211" s="37" t="n">
        <v>2019</v>
      </c>
      <c r="H211" s="22" t="s">
        <v>1285</v>
      </c>
      <c r="I211" s="22" t="s">
        <v>209</v>
      </c>
      <c r="J211" s="22" t="s">
        <v>66</v>
      </c>
      <c r="K211" s="22" t="s">
        <v>1289</v>
      </c>
      <c r="L211" s="22" t="s">
        <v>1290</v>
      </c>
      <c r="M211" s="22" t="s">
        <v>1291</v>
      </c>
      <c r="N211" s="22" t="s">
        <v>1292</v>
      </c>
      <c r="O211" s="8" t="n">
        <v>25</v>
      </c>
      <c r="P211" s="22" t="n">
        <v>29.25</v>
      </c>
      <c r="Q211" s="8" t="s">
        <v>119</v>
      </c>
    </row>
    <row r="212" customFormat="false" ht="39.75" hidden="false" customHeight="true" outlineLevel="0" collapsed="false">
      <c r="A212" s="9" t="s">
        <v>218</v>
      </c>
      <c r="B212" s="9" t="n">
        <v>30</v>
      </c>
      <c r="C212" s="22" t="s">
        <v>17</v>
      </c>
      <c r="D212" s="22" t="s">
        <v>17</v>
      </c>
      <c r="E212" s="22" t="s">
        <v>1293</v>
      </c>
      <c r="F212" s="37" t="n">
        <v>5</v>
      </c>
      <c r="G212" s="37" t="n">
        <v>2019</v>
      </c>
      <c r="H212" s="22" t="s">
        <v>1285</v>
      </c>
      <c r="I212" s="22" t="s">
        <v>209</v>
      </c>
      <c r="J212" s="22" t="s">
        <v>66</v>
      </c>
      <c r="K212" s="22" t="s">
        <v>1294</v>
      </c>
      <c r="L212" s="22" t="s">
        <v>1153</v>
      </c>
      <c r="M212" s="22" t="s">
        <v>1295</v>
      </c>
      <c r="N212" s="22" t="s">
        <v>1296</v>
      </c>
      <c r="O212" s="8" t="n">
        <v>40</v>
      </c>
      <c r="P212" s="22" t="n">
        <v>46.8</v>
      </c>
      <c r="Q212" s="8" t="s">
        <v>119</v>
      </c>
    </row>
    <row r="213" customFormat="false" ht="39.75" hidden="false" customHeight="true" outlineLevel="0" collapsed="false">
      <c r="A213" s="9" t="s">
        <v>218</v>
      </c>
      <c r="B213" s="9" t="n">
        <v>30</v>
      </c>
      <c r="C213" s="22" t="s">
        <v>17</v>
      </c>
      <c r="D213" s="22" t="s">
        <v>17</v>
      </c>
      <c r="E213" s="22" t="s">
        <v>1297</v>
      </c>
      <c r="F213" s="37" t="n">
        <v>6</v>
      </c>
      <c r="G213" s="37" t="n">
        <v>2019</v>
      </c>
      <c r="H213" s="22" t="s">
        <v>1285</v>
      </c>
      <c r="I213" s="22" t="s">
        <v>209</v>
      </c>
      <c r="J213" s="22" t="s">
        <v>66</v>
      </c>
      <c r="K213" s="22" t="s">
        <v>1298</v>
      </c>
      <c r="L213" s="22" t="s">
        <v>119</v>
      </c>
      <c r="M213" s="22" t="s">
        <v>1299</v>
      </c>
      <c r="N213" s="22" t="s">
        <v>1300</v>
      </c>
      <c r="O213" s="8" t="n">
        <v>120</v>
      </c>
      <c r="P213" s="22" t="n">
        <v>140.4</v>
      </c>
      <c r="Q213" s="8" t="s">
        <v>119</v>
      </c>
    </row>
    <row r="214" customFormat="false" ht="39.75" hidden="false" customHeight="true" outlineLevel="0" collapsed="false">
      <c r="A214" s="9" t="s">
        <v>229</v>
      </c>
      <c r="B214" s="22" t="n">
        <v>32</v>
      </c>
      <c r="C214" s="22" t="s">
        <v>17</v>
      </c>
      <c r="D214" s="37" t="s">
        <v>17</v>
      </c>
      <c r="E214" s="22" t="s">
        <v>1301</v>
      </c>
      <c r="F214" s="37" t="n">
        <v>1</v>
      </c>
      <c r="G214" s="37" t="n">
        <v>2024</v>
      </c>
      <c r="H214" s="22" t="s">
        <v>121</v>
      </c>
      <c r="I214" s="22" t="s">
        <v>231</v>
      </c>
      <c r="J214" s="22" t="s">
        <v>535</v>
      </c>
      <c r="K214" s="22" t="s">
        <v>1302</v>
      </c>
      <c r="L214" s="22" t="s">
        <v>468</v>
      </c>
      <c r="M214" s="22" t="s">
        <v>1303</v>
      </c>
      <c r="N214" s="22" t="s">
        <v>1304</v>
      </c>
      <c r="O214" s="8" t="n">
        <v>0.68</v>
      </c>
      <c r="P214" s="22" t="n">
        <v>0.7956</v>
      </c>
      <c r="Q214" s="8" t="s">
        <v>25</v>
      </c>
    </row>
    <row r="215" customFormat="false" ht="39.75" hidden="false" customHeight="true" outlineLevel="0" collapsed="false">
      <c r="A215" s="9" t="s">
        <v>229</v>
      </c>
      <c r="B215" s="22" t="n">
        <v>32</v>
      </c>
      <c r="C215" s="22" t="s">
        <v>17</v>
      </c>
      <c r="D215" s="37" t="s">
        <v>17</v>
      </c>
      <c r="E215" s="22" t="s">
        <v>1305</v>
      </c>
      <c r="F215" s="37" t="n">
        <v>2</v>
      </c>
      <c r="G215" s="37" t="n">
        <v>2024</v>
      </c>
      <c r="H215" s="22" t="s">
        <v>121</v>
      </c>
      <c r="I215" s="22" t="s">
        <v>231</v>
      </c>
      <c r="J215" s="22" t="s">
        <v>535</v>
      </c>
      <c r="K215" s="22" t="s">
        <v>1306</v>
      </c>
      <c r="L215" s="22" t="s">
        <v>38</v>
      </c>
      <c r="M215" s="22" t="s">
        <v>1307</v>
      </c>
      <c r="N215" s="22" t="s">
        <v>1304</v>
      </c>
      <c r="O215" s="8" t="n">
        <v>1.2</v>
      </c>
      <c r="P215" s="22" t="n">
        <v>1.404</v>
      </c>
      <c r="Q215" s="8" t="s">
        <v>38</v>
      </c>
    </row>
    <row r="216" customFormat="false" ht="39.75" hidden="false" customHeight="true" outlineLevel="0" collapsed="false">
      <c r="A216" s="9" t="s">
        <v>229</v>
      </c>
      <c r="B216" s="22" t="n">
        <v>32</v>
      </c>
      <c r="C216" s="22" t="s">
        <v>17</v>
      </c>
      <c r="D216" s="37" t="s">
        <v>17</v>
      </c>
      <c r="E216" s="22" t="s">
        <v>1308</v>
      </c>
      <c r="F216" s="37" t="n">
        <v>3</v>
      </c>
      <c r="G216" s="37" t="n">
        <v>2024</v>
      </c>
      <c r="H216" s="22" t="s">
        <v>121</v>
      </c>
      <c r="I216" s="22" t="s">
        <v>231</v>
      </c>
      <c r="J216" s="22" t="s">
        <v>535</v>
      </c>
      <c r="K216" s="22" t="s">
        <v>1309</v>
      </c>
      <c r="L216" s="22" t="s">
        <v>286</v>
      </c>
      <c r="M216" s="22" t="s">
        <v>1310</v>
      </c>
      <c r="N216" s="22" t="s">
        <v>1304</v>
      </c>
      <c r="O216" s="8" t="n">
        <v>0.56</v>
      </c>
      <c r="P216" s="22" t="n">
        <v>0.6552</v>
      </c>
      <c r="Q216" s="8" t="s">
        <v>286</v>
      </c>
    </row>
    <row r="217" customFormat="false" ht="39.75" hidden="false" customHeight="true" outlineLevel="0" collapsed="false">
      <c r="A217" s="9" t="s">
        <v>229</v>
      </c>
      <c r="B217" s="22" t="n">
        <v>32</v>
      </c>
      <c r="C217" s="22" t="s">
        <v>17</v>
      </c>
      <c r="D217" s="37" t="s">
        <v>17</v>
      </c>
      <c r="E217" s="22" t="s">
        <v>1311</v>
      </c>
      <c r="F217" s="37" t="n">
        <v>4</v>
      </c>
      <c r="G217" s="37" t="n">
        <v>2024</v>
      </c>
      <c r="H217" s="22" t="s">
        <v>121</v>
      </c>
      <c r="I217" s="22" t="s">
        <v>231</v>
      </c>
      <c r="J217" s="22" t="s">
        <v>535</v>
      </c>
      <c r="K217" s="22" t="s">
        <v>1312</v>
      </c>
      <c r="L217" s="22" t="s">
        <v>1313</v>
      </c>
      <c r="M217" s="22" t="s">
        <v>1314</v>
      </c>
      <c r="N217" s="22" t="s">
        <v>1304</v>
      </c>
      <c r="O217" s="8" t="n">
        <v>0.41</v>
      </c>
      <c r="P217" s="22" t="n">
        <v>0.4797</v>
      </c>
      <c r="Q217" s="8" t="s">
        <v>25</v>
      </c>
    </row>
    <row r="218" customFormat="false" ht="39.75" hidden="false" customHeight="true" outlineLevel="0" collapsed="false">
      <c r="A218" s="9" t="s">
        <v>229</v>
      </c>
      <c r="B218" s="22" t="n">
        <v>32</v>
      </c>
      <c r="C218" s="22" t="s">
        <v>17</v>
      </c>
      <c r="D218" s="37" t="s">
        <v>17</v>
      </c>
      <c r="E218" s="22" t="s">
        <v>1315</v>
      </c>
      <c r="F218" s="37" t="n">
        <v>5</v>
      </c>
      <c r="G218" s="37" t="n">
        <v>2024</v>
      </c>
      <c r="H218" s="22" t="s">
        <v>662</v>
      </c>
      <c r="I218" s="22" t="s">
        <v>231</v>
      </c>
      <c r="J218" s="22" t="s">
        <v>535</v>
      </c>
      <c r="K218" s="22" t="s">
        <v>1316</v>
      </c>
      <c r="L218" s="22" t="s">
        <v>1317</v>
      </c>
      <c r="M218" s="22" t="s">
        <v>1318</v>
      </c>
      <c r="N218" s="22" t="s">
        <v>1304</v>
      </c>
      <c r="O218" s="8" t="n">
        <v>1</v>
      </c>
      <c r="P218" s="22" t="n">
        <v>1.17</v>
      </c>
      <c r="Q218" s="8" t="s">
        <v>38</v>
      </c>
    </row>
    <row r="219" customFormat="false" ht="39.75" hidden="false" customHeight="true" outlineLevel="0" collapsed="false">
      <c r="A219" s="9" t="s">
        <v>229</v>
      </c>
      <c r="B219" s="22" t="n">
        <v>32</v>
      </c>
      <c r="C219" s="22" t="s">
        <v>17</v>
      </c>
      <c r="D219" s="37" t="s">
        <v>17</v>
      </c>
      <c r="E219" s="22" t="s">
        <v>1319</v>
      </c>
      <c r="F219" s="37" t="n">
        <v>6</v>
      </c>
      <c r="G219" s="37" t="n">
        <v>2024</v>
      </c>
      <c r="H219" s="22" t="s">
        <v>121</v>
      </c>
      <c r="I219" s="22" t="s">
        <v>231</v>
      </c>
      <c r="J219" s="22" t="s">
        <v>535</v>
      </c>
      <c r="K219" s="22" t="s">
        <v>1320</v>
      </c>
      <c r="L219" s="22" t="s">
        <v>1313</v>
      </c>
      <c r="M219" s="22" t="s">
        <v>1321</v>
      </c>
      <c r="N219" s="22" t="s">
        <v>1304</v>
      </c>
      <c r="O219" s="8" t="n">
        <v>0.83</v>
      </c>
      <c r="P219" s="22" t="n">
        <v>0.9711</v>
      </c>
      <c r="Q219" s="8" t="s">
        <v>25</v>
      </c>
    </row>
    <row r="220" customFormat="false" ht="39.75" hidden="false" customHeight="true" outlineLevel="0" collapsed="false">
      <c r="A220" s="9" t="s">
        <v>229</v>
      </c>
      <c r="B220" s="22" t="n">
        <v>32</v>
      </c>
      <c r="C220" s="22" t="s">
        <v>17</v>
      </c>
      <c r="D220" s="37" t="s">
        <v>17</v>
      </c>
      <c r="E220" s="22" t="s">
        <v>1322</v>
      </c>
      <c r="F220" s="37" t="n">
        <v>7</v>
      </c>
      <c r="G220" s="37" t="n">
        <v>2024</v>
      </c>
      <c r="H220" s="22" t="s">
        <v>121</v>
      </c>
      <c r="I220" s="22" t="s">
        <v>231</v>
      </c>
      <c r="J220" s="22" t="s">
        <v>535</v>
      </c>
      <c r="K220" s="22" t="s">
        <v>1323</v>
      </c>
      <c r="L220" s="22" t="s">
        <v>1324</v>
      </c>
      <c r="M220" s="22" t="s">
        <v>1325</v>
      </c>
      <c r="N220" s="22" t="s">
        <v>1304</v>
      </c>
      <c r="O220" s="8" t="n">
        <v>0.256</v>
      </c>
      <c r="P220" s="22" t="n">
        <v>0.29952</v>
      </c>
      <c r="Q220" s="8"/>
    </row>
    <row r="221" customFormat="false" ht="39.75" hidden="false" customHeight="true" outlineLevel="0" collapsed="false">
      <c r="A221" s="9" t="s">
        <v>229</v>
      </c>
      <c r="B221" s="22" t="n">
        <v>32</v>
      </c>
      <c r="C221" s="22" t="s">
        <v>17</v>
      </c>
      <c r="D221" s="37" t="s">
        <v>17</v>
      </c>
      <c r="E221" s="22" t="s">
        <v>1326</v>
      </c>
      <c r="F221" s="37" t="n">
        <v>8</v>
      </c>
      <c r="G221" s="37" t="n">
        <v>2024</v>
      </c>
      <c r="H221" s="22" t="s">
        <v>121</v>
      </c>
      <c r="I221" s="22" t="s">
        <v>231</v>
      </c>
      <c r="J221" s="22" t="s">
        <v>535</v>
      </c>
      <c r="K221" s="22" t="s">
        <v>1327</v>
      </c>
      <c r="L221" s="22" t="s">
        <v>35</v>
      </c>
      <c r="M221" s="22" t="s">
        <v>1328</v>
      </c>
      <c r="N221" s="22" t="s">
        <v>1304</v>
      </c>
      <c r="O221" s="8" t="n">
        <v>1</v>
      </c>
      <c r="P221" s="22" t="n">
        <v>1.17</v>
      </c>
      <c r="Q221" s="8" t="s">
        <v>110</v>
      </c>
    </row>
    <row r="222" customFormat="false" ht="39.75" hidden="false" customHeight="true" outlineLevel="0" collapsed="false">
      <c r="A222" s="9" t="s">
        <v>229</v>
      </c>
      <c r="B222" s="22" t="n">
        <v>32</v>
      </c>
      <c r="C222" s="22" t="s">
        <v>17</v>
      </c>
      <c r="D222" s="37" t="s">
        <v>17</v>
      </c>
      <c r="E222" s="22" t="s">
        <v>1329</v>
      </c>
      <c r="F222" s="37" t="n">
        <v>9</v>
      </c>
      <c r="G222" s="37" t="n">
        <v>2024</v>
      </c>
      <c r="H222" s="22" t="s">
        <v>121</v>
      </c>
      <c r="I222" s="22" t="s">
        <v>231</v>
      </c>
      <c r="J222" s="22" t="s">
        <v>535</v>
      </c>
      <c r="K222" s="22" t="s">
        <v>1330</v>
      </c>
      <c r="L222" s="22" t="s">
        <v>1313</v>
      </c>
      <c r="M222" s="22" t="s">
        <v>1331</v>
      </c>
      <c r="N222" s="22" t="s">
        <v>1304</v>
      </c>
      <c r="O222" s="8" t="n">
        <v>0.3</v>
      </c>
      <c r="P222" s="22" t="n">
        <v>0.351</v>
      </c>
      <c r="Q222" s="8" t="s">
        <v>110</v>
      </c>
    </row>
    <row r="223" customFormat="false" ht="39.75" hidden="false" customHeight="true" outlineLevel="0" collapsed="false">
      <c r="A223" s="9" t="s">
        <v>229</v>
      </c>
      <c r="B223" s="22" t="n">
        <v>32</v>
      </c>
      <c r="C223" s="22" t="s">
        <v>17</v>
      </c>
      <c r="D223" s="37" t="s">
        <v>17</v>
      </c>
      <c r="E223" s="22" t="s">
        <v>1332</v>
      </c>
      <c r="F223" s="37" t="n">
        <v>10</v>
      </c>
      <c r="G223" s="37" t="n">
        <v>2024</v>
      </c>
      <c r="H223" s="22" t="s">
        <v>121</v>
      </c>
      <c r="I223" s="22" t="s">
        <v>231</v>
      </c>
      <c r="J223" s="22" t="s">
        <v>535</v>
      </c>
      <c r="K223" s="22" t="s">
        <v>1333</v>
      </c>
      <c r="L223" s="22" t="s">
        <v>1324</v>
      </c>
      <c r="M223" s="22" t="s">
        <v>1334</v>
      </c>
      <c r="N223" s="22" t="s">
        <v>1304</v>
      </c>
      <c r="O223" s="8" t="n">
        <v>0.321</v>
      </c>
      <c r="P223" s="22" t="n">
        <v>0.37557</v>
      </c>
      <c r="Q223" s="8" t="s">
        <v>38</v>
      </c>
    </row>
    <row r="224" customFormat="false" ht="39.75" hidden="false" customHeight="true" outlineLevel="0" collapsed="false">
      <c r="A224" s="9" t="s">
        <v>229</v>
      </c>
      <c r="B224" s="22" t="n">
        <v>32</v>
      </c>
      <c r="C224" s="22" t="s">
        <v>17</v>
      </c>
      <c r="D224" s="37" t="s">
        <v>17</v>
      </c>
      <c r="E224" s="22" t="s">
        <v>1335</v>
      </c>
      <c r="F224" s="37" t="n">
        <v>11</v>
      </c>
      <c r="G224" s="37" t="n">
        <v>2024</v>
      </c>
      <c r="H224" s="22" t="s">
        <v>121</v>
      </c>
      <c r="I224" s="22" t="s">
        <v>231</v>
      </c>
      <c r="J224" s="22" t="s">
        <v>535</v>
      </c>
      <c r="K224" s="22" t="s">
        <v>1336</v>
      </c>
      <c r="L224" s="22" t="s">
        <v>1337</v>
      </c>
      <c r="M224" s="22" t="s">
        <v>1338</v>
      </c>
      <c r="N224" s="22" t="s">
        <v>1304</v>
      </c>
      <c r="O224" s="8" t="n">
        <v>0.585</v>
      </c>
      <c r="P224" s="22" t="n">
        <v>0.68445</v>
      </c>
      <c r="Q224" s="8" t="s">
        <v>25</v>
      </c>
    </row>
    <row r="225" customFormat="false" ht="39.75" hidden="false" customHeight="true" outlineLevel="0" collapsed="false">
      <c r="A225" s="9" t="s">
        <v>229</v>
      </c>
      <c r="B225" s="22" t="n">
        <v>32</v>
      </c>
      <c r="C225" s="22" t="s">
        <v>17</v>
      </c>
      <c r="D225" s="37" t="s">
        <v>17</v>
      </c>
      <c r="E225" s="22" t="s">
        <v>1339</v>
      </c>
      <c r="F225" s="37" t="n">
        <v>12</v>
      </c>
      <c r="G225" s="37" t="n">
        <v>2024</v>
      </c>
      <c r="H225" s="22" t="s">
        <v>121</v>
      </c>
      <c r="I225" s="22" t="s">
        <v>231</v>
      </c>
      <c r="J225" s="22" t="s">
        <v>535</v>
      </c>
      <c r="K225" s="22" t="s">
        <v>1340</v>
      </c>
      <c r="L225" s="22" t="s">
        <v>1162</v>
      </c>
      <c r="M225" s="22" t="s">
        <v>1341</v>
      </c>
      <c r="N225" s="22" t="s">
        <v>1304</v>
      </c>
      <c r="O225" s="8" t="n">
        <v>1.4</v>
      </c>
      <c r="P225" s="22" t="n">
        <v>1.638</v>
      </c>
      <c r="Q225" s="8" t="s">
        <v>25</v>
      </c>
    </row>
    <row r="226" customFormat="false" ht="39.75" hidden="false" customHeight="true" outlineLevel="0" collapsed="false">
      <c r="A226" s="9" t="s">
        <v>229</v>
      </c>
      <c r="B226" s="22" t="n">
        <v>32</v>
      </c>
      <c r="C226" s="22" t="s">
        <v>17</v>
      </c>
      <c r="D226" s="37" t="s">
        <v>17</v>
      </c>
      <c r="E226" s="22" t="s">
        <v>1342</v>
      </c>
      <c r="F226" s="37" t="n">
        <v>13</v>
      </c>
      <c r="G226" s="37" t="n">
        <v>2024</v>
      </c>
      <c r="H226" s="22" t="s">
        <v>121</v>
      </c>
      <c r="I226" s="22" t="s">
        <v>231</v>
      </c>
      <c r="J226" s="22" t="s">
        <v>535</v>
      </c>
      <c r="K226" s="22" t="s">
        <v>1343</v>
      </c>
      <c r="L226" s="22" t="s">
        <v>25</v>
      </c>
      <c r="M226" s="22" t="s">
        <v>1344</v>
      </c>
      <c r="N226" s="22" t="s">
        <v>1304</v>
      </c>
      <c r="O226" s="8" t="n">
        <v>0.53</v>
      </c>
      <c r="P226" s="22" t="n">
        <v>0.6201</v>
      </c>
      <c r="Q226" s="8" t="s">
        <v>25</v>
      </c>
    </row>
    <row r="227" customFormat="false" ht="39.75" hidden="false" customHeight="true" outlineLevel="0" collapsed="false">
      <c r="A227" s="9" t="s">
        <v>229</v>
      </c>
      <c r="B227" s="22" t="n">
        <v>32</v>
      </c>
      <c r="C227" s="22" t="s">
        <v>17</v>
      </c>
      <c r="D227" s="37" t="s">
        <v>17</v>
      </c>
      <c r="E227" s="22" t="s">
        <v>1345</v>
      </c>
      <c r="F227" s="37" t="n">
        <v>14</v>
      </c>
      <c r="G227" s="37" t="n">
        <v>2024</v>
      </c>
      <c r="H227" s="22" t="s">
        <v>121</v>
      </c>
      <c r="I227" s="22" t="s">
        <v>231</v>
      </c>
      <c r="J227" s="22" t="s">
        <v>535</v>
      </c>
      <c r="K227" s="22" t="s">
        <v>1346</v>
      </c>
      <c r="L227" s="22" t="s">
        <v>1347</v>
      </c>
      <c r="M227" s="22" t="s">
        <v>1348</v>
      </c>
      <c r="N227" s="22" t="s">
        <v>1304</v>
      </c>
      <c r="O227" s="8" t="n">
        <v>0.65</v>
      </c>
      <c r="P227" s="22" t="n">
        <v>0.7605</v>
      </c>
      <c r="Q227" s="8" t="s">
        <v>110</v>
      </c>
    </row>
    <row r="228" customFormat="false" ht="39.75" hidden="false" customHeight="true" outlineLevel="0" collapsed="false">
      <c r="A228" s="9" t="s">
        <v>229</v>
      </c>
      <c r="B228" s="22" t="n">
        <v>32</v>
      </c>
      <c r="C228" s="22" t="s">
        <v>17</v>
      </c>
      <c r="D228" s="37" t="s">
        <v>17</v>
      </c>
      <c r="E228" s="22" t="s">
        <v>1349</v>
      </c>
      <c r="F228" s="37" t="n">
        <v>15</v>
      </c>
      <c r="G228" s="37" t="n">
        <v>2024</v>
      </c>
      <c r="H228" s="22" t="s">
        <v>121</v>
      </c>
      <c r="I228" s="22" t="s">
        <v>231</v>
      </c>
      <c r="J228" s="22" t="s">
        <v>535</v>
      </c>
      <c r="K228" s="22" t="s">
        <v>1350</v>
      </c>
      <c r="L228" s="22" t="s">
        <v>443</v>
      </c>
      <c r="M228" s="22" t="s">
        <v>1351</v>
      </c>
      <c r="N228" s="22" t="s">
        <v>1304</v>
      </c>
      <c r="O228" s="8" t="n">
        <v>0.438</v>
      </c>
      <c r="P228" s="22" t="n">
        <v>0.51246</v>
      </c>
      <c r="Q228" s="8" t="s">
        <v>110</v>
      </c>
    </row>
    <row r="229" customFormat="false" ht="39.75" hidden="false" customHeight="true" outlineLevel="0" collapsed="false">
      <c r="A229" s="9" t="s">
        <v>248</v>
      </c>
      <c r="B229" s="9" t="n">
        <v>35</v>
      </c>
      <c r="C229" s="9" t="s">
        <v>253</v>
      </c>
      <c r="D229" s="9" t="s">
        <v>28</v>
      </c>
      <c r="E229" s="9" t="s">
        <v>1352</v>
      </c>
      <c r="F229" s="9" t="n">
        <v>1</v>
      </c>
      <c r="G229" s="37" t="n">
        <v>2022</v>
      </c>
      <c r="H229" s="22" t="s">
        <v>616</v>
      </c>
      <c r="I229" s="22" t="s">
        <v>238</v>
      </c>
      <c r="J229" s="22" t="s">
        <v>535</v>
      </c>
      <c r="K229" s="22" t="s">
        <v>1353</v>
      </c>
      <c r="L229" s="22" t="s">
        <v>1313</v>
      </c>
      <c r="M229" s="22" t="s">
        <v>1354</v>
      </c>
      <c r="N229" s="8" t="s">
        <v>1355</v>
      </c>
      <c r="O229" s="8" t="n">
        <v>85</v>
      </c>
      <c r="P229" s="22" t="n">
        <v>99.45</v>
      </c>
      <c r="Q229" s="8" t="s">
        <v>110</v>
      </c>
    </row>
    <row r="230" customFormat="false" ht="39.75" hidden="false" customHeight="true" outlineLevel="0" collapsed="false">
      <c r="A230" s="9" t="s">
        <v>401</v>
      </c>
      <c r="B230" s="22" t="n">
        <v>49</v>
      </c>
      <c r="C230" s="22" t="s">
        <v>17</v>
      </c>
      <c r="D230" s="22" t="s">
        <v>17</v>
      </c>
      <c r="E230" s="22" t="s">
        <v>1356</v>
      </c>
      <c r="F230" s="22" t="n">
        <v>1</v>
      </c>
      <c r="G230" s="22" t="n">
        <v>2024</v>
      </c>
      <c r="H230" s="22" t="s">
        <v>376</v>
      </c>
      <c r="I230" s="22" t="s">
        <v>19</v>
      </c>
      <c r="J230" s="22" t="s">
        <v>535</v>
      </c>
      <c r="K230" s="38" t="s">
        <v>1357</v>
      </c>
      <c r="L230" s="22" t="s">
        <v>68</v>
      </c>
      <c r="M230" s="22" t="s">
        <v>1358</v>
      </c>
      <c r="N230" s="22" t="s">
        <v>1359</v>
      </c>
      <c r="O230" s="8" t="n">
        <v>11</v>
      </c>
      <c r="P230" s="22" t="n">
        <v>12.87</v>
      </c>
      <c r="Q230" s="8" t="s">
        <v>25</v>
      </c>
    </row>
    <row r="231" customFormat="false" ht="39.75" hidden="false" customHeight="true" outlineLevel="0" collapsed="false">
      <c r="A231" s="9" t="s">
        <v>401</v>
      </c>
      <c r="B231" s="22" t="n">
        <v>49</v>
      </c>
      <c r="C231" s="22" t="s">
        <v>17</v>
      </c>
      <c r="D231" s="22" t="s">
        <v>17</v>
      </c>
      <c r="E231" s="22" t="s">
        <v>1360</v>
      </c>
      <c r="F231" s="22" t="n">
        <v>2</v>
      </c>
      <c r="G231" s="22" t="n">
        <v>2024</v>
      </c>
      <c r="H231" s="22" t="s">
        <v>376</v>
      </c>
      <c r="I231" s="22" t="s">
        <v>19</v>
      </c>
      <c r="J231" s="22" t="s">
        <v>535</v>
      </c>
      <c r="K231" s="38" t="s">
        <v>1361</v>
      </c>
      <c r="L231" s="22" t="s">
        <v>227</v>
      </c>
      <c r="M231" s="22" t="s">
        <v>1362</v>
      </c>
      <c r="N231" s="22" t="s">
        <v>1359</v>
      </c>
      <c r="O231" s="8" t="n">
        <v>115</v>
      </c>
      <c r="P231" s="22" t="n">
        <v>134.55</v>
      </c>
      <c r="Q231" s="8" t="s">
        <v>25</v>
      </c>
    </row>
    <row r="232" customFormat="false" ht="39.75" hidden="false" customHeight="true" outlineLevel="0" collapsed="false">
      <c r="A232" s="9" t="s">
        <v>401</v>
      </c>
      <c r="B232" s="22" t="n">
        <v>49</v>
      </c>
      <c r="C232" s="22" t="s">
        <v>17</v>
      </c>
      <c r="D232" s="22" t="s">
        <v>17</v>
      </c>
      <c r="E232" s="22" t="s">
        <v>1363</v>
      </c>
      <c r="F232" s="22" t="n">
        <v>3</v>
      </c>
      <c r="G232" s="22" t="n">
        <v>2024</v>
      </c>
      <c r="H232" s="22" t="s">
        <v>376</v>
      </c>
      <c r="I232" s="22" t="s">
        <v>19</v>
      </c>
      <c r="J232" s="22" t="s">
        <v>535</v>
      </c>
      <c r="K232" s="38" t="s">
        <v>1364</v>
      </c>
      <c r="L232" s="22" t="s">
        <v>1290</v>
      </c>
      <c r="M232" s="22" t="s">
        <v>1365</v>
      </c>
      <c r="N232" s="22" t="s">
        <v>1359</v>
      </c>
      <c r="O232" s="8" t="n">
        <v>9.5</v>
      </c>
      <c r="P232" s="22" t="n">
        <v>11.115</v>
      </c>
      <c r="Q232" s="8" t="s">
        <v>119</v>
      </c>
    </row>
    <row r="233" customFormat="false" ht="39.75" hidden="false" customHeight="true" outlineLevel="0" collapsed="false">
      <c r="A233" s="9" t="s">
        <v>401</v>
      </c>
      <c r="B233" s="22" t="n">
        <v>49</v>
      </c>
      <c r="C233" s="22" t="s">
        <v>17</v>
      </c>
      <c r="D233" s="22" t="s">
        <v>17</v>
      </c>
      <c r="E233" s="22" t="s">
        <v>1366</v>
      </c>
      <c r="F233" s="22" t="n">
        <v>4</v>
      </c>
      <c r="G233" s="22" t="n">
        <v>2024</v>
      </c>
      <c r="H233" s="22" t="s">
        <v>376</v>
      </c>
      <c r="I233" s="22" t="s">
        <v>19</v>
      </c>
      <c r="J233" s="22" t="s">
        <v>535</v>
      </c>
      <c r="K233" s="38" t="s">
        <v>1367</v>
      </c>
      <c r="L233" s="22" t="s">
        <v>984</v>
      </c>
      <c r="M233" s="22" t="s">
        <v>1368</v>
      </c>
      <c r="N233" s="22" t="s">
        <v>1359</v>
      </c>
      <c r="O233" s="8" t="n">
        <v>12</v>
      </c>
      <c r="P233" s="22" t="n">
        <v>14.04</v>
      </c>
      <c r="Q233" s="8" t="s">
        <v>38</v>
      </c>
    </row>
    <row r="234" customFormat="false" ht="39.75" hidden="false" customHeight="true" outlineLevel="0" collapsed="false">
      <c r="A234" s="9" t="s">
        <v>401</v>
      </c>
      <c r="B234" s="22" t="n">
        <v>49</v>
      </c>
      <c r="C234" s="22" t="s">
        <v>17</v>
      </c>
      <c r="D234" s="22" t="s">
        <v>17</v>
      </c>
      <c r="E234" s="22" t="s">
        <v>1369</v>
      </c>
      <c r="F234" s="22" t="n">
        <v>5</v>
      </c>
      <c r="G234" s="22" t="n">
        <v>2024</v>
      </c>
      <c r="H234" s="22" t="s">
        <v>376</v>
      </c>
      <c r="I234" s="22" t="s">
        <v>19</v>
      </c>
      <c r="J234" s="22" t="s">
        <v>535</v>
      </c>
      <c r="K234" s="38" t="s">
        <v>1370</v>
      </c>
      <c r="L234" s="22" t="s">
        <v>35</v>
      </c>
      <c r="M234" s="22" t="s">
        <v>1371</v>
      </c>
      <c r="N234" s="22" t="s">
        <v>1359</v>
      </c>
      <c r="O234" s="8" t="n">
        <v>1.5</v>
      </c>
      <c r="P234" s="22" t="n">
        <v>1.755</v>
      </c>
      <c r="Q234" s="8" t="s">
        <v>38</v>
      </c>
    </row>
    <row r="235" customFormat="false" ht="39.75" hidden="false" customHeight="true" outlineLevel="0" collapsed="false">
      <c r="A235" s="9" t="s">
        <v>401</v>
      </c>
      <c r="B235" s="22" t="n">
        <v>49</v>
      </c>
      <c r="C235" s="22" t="s">
        <v>17</v>
      </c>
      <c r="D235" s="22" t="s">
        <v>17</v>
      </c>
      <c r="E235" s="22" t="s">
        <v>1372</v>
      </c>
      <c r="F235" s="22" t="n">
        <v>6</v>
      </c>
      <c r="G235" s="22" t="n">
        <v>2024</v>
      </c>
      <c r="H235" s="22" t="s">
        <v>376</v>
      </c>
      <c r="I235" s="22" t="s">
        <v>19</v>
      </c>
      <c r="J235" s="22" t="s">
        <v>535</v>
      </c>
      <c r="K235" s="38" t="s">
        <v>1373</v>
      </c>
      <c r="L235" s="22" t="s">
        <v>984</v>
      </c>
      <c r="M235" s="22" t="s">
        <v>1374</v>
      </c>
      <c r="N235" s="22" t="s">
        <v>1359</v>
      </c>
      <c r="O235" s="8" t="n">
        <v>22</v>
      </c>
      <c r="P235" s="22" t="n">
        <v>25.74</v>
      </c>
      <c r="Q235" s="8" t="s">
        <v>119</v>
      </c>
    </row>
    <row r="236" customFormat="false" ht="39.75" hidden="false" customHeight="true" outlineLevel="0" collapsed="false">
      <c r="A236" s="9" t="s">
        <v>401</v>
      </c>
      <c r="B236" s="22" t="n">
        <v>49</v>
      </c>
      <c r="C236" s="22" t="s">
        <v>17</v>
      </c>
      <c r="D236" s="22" t="s">
        <v>17</v>
      </c>
      <c r="E236" s="22" t="s">
        <v>1375</v>
      </c>
      <c r="F236" s="22" t="n">
        <v>7</v>
      </c>
      <c r="G236" s="22" t="n">
        <v>2024</v>
      </c>
      <c r="H236" s="22" t="s">
        <v>376</v>
      </c>
      <c r="I236" s="22" t="s">
        <v>19</v>
      </c>
      <c r="J236" s="22" t="s">
        <v>535</v>
      </c>
      <c r="K236" s="38" t="s">
        <v>1376</v>
      </c>
      <c r="L236" s="22" t="s">
        <v>646</v>
      </c>
      <c r="M236" s="22" t="s">
        <v>1377</v>
      </c>
      <c r="N236" s="22" t="s">
        <v>1359</v>
      </c>
      <c r="O236" s="8" t="n">
        <v>19</v>
      </c>
      <c r="P236" s="22" t="n">
        <v>22.23</v>
      </c>
      <c r="Q236" s="8" t="s">
        <v>25</v>
      </c>
    </row>
    <row r="237" customFormat="false" ht="39.75" hidden="false" customHeight="true" outlineLevel="0" collapsed="false">
      <c r="A237" s="9" t="s">
        <v>401</v>
      </c>
      <c r="B237" s="22" t="n">
        <v>49</v>
      </c>
      <c r="C237" s="22" t="s">
        <v>17</v>
      </c>
      <c r="D237" s="22" t="s">
        <v>17</v>
      </c>
      <c r="E237" s="22" t="s">
        <v>1378</v>
      </c>
      <c r="F237" s="22" t="n">
        <v>8</v>
      </c>
      <c r="G237" s="22" t="n">
        <v>2024</v>
      </c>
      <c r="H237" s="22" t="s">
        <v>376</v>
      </c>
      <c r="I237" s="22" t="s">
        <v>19</v>
      </c>
      <c r="J237" s="22" t="s">
        <v>535</v>
      </c>
      <c r="K237" s="38" t="s">
        <v>1379</v>
      </c>
      <c r="L237" s="22" t="s">
        <v>110</v>
      </c>
      <c r="M237" s="22" t="s">
        <v>1380</v>
      </c>
      <c r="N237" s="22" t="s">
        <v>1359</v>
      </c>
      <c r="O237" s="8" t="n">
        <v>1.6</v>
      </c>
      <c r="P237" s="22" t="n">
        <v>1.872</v>
      </c>
      <c r="Q237" s="8" t="s">
        <v>110</v>
      </c>
    </row>
    <row r="238" customFormat="false" ht="39.75" hidden="false" customHeight="true" outlineLevel="0" collapsed="false">
      <c r="A238" s="9" t="s">
        <v>401</v>
      </c>
      <c r="B238" s="22" t="n">
        <v>49</v>
      </c>
      <c r="C238" s="22" t="s">
        <v>17</v>
      </c>
      <c r="D238" s="22" t="s">
        <v>17</v>
      </c>
      <c r="E238" s="22" t="s">
        <v>1381</v>
      </c>
      <c r="F238" s="22" t="n">
        <v>9</v>
      </c>
      <c r="G238" s="22" t="n">
        <v>2025</v>
      </c>
      <c r="H238" s="22" t="s">
        <v>268</v>
      </c>
      <c r="I238" s="22" t="s">
        <v>19</v>
      </c>
      <c r="J238" s="22" t="s">
        <v>535</v>
      </c>
      <c r="K238" s="38" t="s">
        <v>1382</v>
      </c>
      <c r="L238" s="22" t="s">
        <v>35</v>
      </c>
      <c r="M238" s="22" t="s">
        <v>1383</v>
      </c>
      <c r="N238" s="22" t="s">
        <v>1359</v>
      </c>
      <c r="O238" s="8" t="n">
        <v>0.5</v>
      </c>
      <c r="P238" s="22" t="n">
        <v>0.585</v>
      </c>
      <c r="Q238" s="8" t="s">
        <v>110</v>
      </c>
    </row>
    <row r="239" customFormat="false" ht="39.75" hidden="false" customHeight="true" outlineLevel="0" collapsed="false">
      <c r="A239" s="9" t="s">
        <v>401</v>
      </c>
      <c r="B239" s="22" t="n">
        <v>49</v>
      </c>
      <c r="C239" s="22" t="s">
        <v>17</v>
      </c>
      <c r="D239" s="22" t="s">
        <v>17</v>
      </c>
      <c r="E239" s="22" t="s">
        <v>1384</v>
      </c>
      <c r="F239" s="22" t="n">
        <v>10</v>
      </c>
      <c r="G239" s="22" t="n">
        <v>2025</v>
      </c>
      <c r="H239" s="22" t="s">
        <v>268</v>
      </c>
      <c r="I239" s="22" t="s">
        <v>19</v>
      </c>
      <c r="J239" s="22" t="s">
        <v>535</v>
      </c>
      <c r="K239" s="38" t="s">
        <v>1385</v>
      </c>
      <c r="L239" s="22" t="s">
        <v>110</v>
      </c>
      <c r="M239" s="22" t="s">
        <v>1386</v>
      </c>
      <c r="N239" s="22" t="s">
        <v>1359</v>
      </c>
      <c r="O239" s="8" t="n">
        <v>0.345</v>
      </c>
      <c r="P239" s="22" t="n">
        <v>0.40365</v>
      </c>
      <c r="Q239" s="8" t="s">
        <v>110</v>
      </c>
    </row>
    <row r="240" customFormat="false" ht="39.75" hidden="false" customHeight="true" outlineLevel="0" collapsed="false">
      <c r="A240" s="9" t="s">
        <v>401</v>
      </c>
      <c r="B240" s="22" t="n">
        <v>49</v>
      </c>
      <c r="C240" s="22" t="s">
        <v>17</v>
      </c>
      <c r="D240" s="22" t="s">
        <v>17</v>
      </c>
      <c r="E240" s="22" t="s">
        <v>1387</v>
      </c>
      <c r="F240" s="22" t="n">
        <v>11</v>
      </c>
      <c r="G240" s="22" t="n">
        <v>2025</v>
      </c>
      <c r="H240" s="22" t="s">
        <v>268</v>
      </c>
      <c r="I240" s="22" t="s">
        <v>19</v>
      </c>
      <c r="J240" s="22" t="s">
        <v>535</v>
      </c>
      <c r="K240" s="38" t="s">
        <v>1388</v>
      </c>
      <c r="L240" s="22" t="s">
        <v>35</v>
      </c>
      <c r="M240" s="22" t="s">
        <v>1389</v>
      </c>
      <c r="N240" s="22" t="s">
        <v>1359</v>
      </c>
      <c r="O240" s="8" t="n">
        <v>2.9</v>
      </c>
      <c r="P240" s="22" t="n">
        <v>3.393</v>
      </c>
      <c r="Q240" s="8" t="s">
        <v>110</v>
      </c>
    </row>
    <row r="241" customFormat="false" ht="39.75" hidden="false" customHeight="true" outlineLevel="0" collapsed="false">
      <c r="A241" s="9" t="s">
        <v>276</v>
      </c>
      <c r="B241" s="9" t="n">
        <v>40</v>
      </c>
      <c r="C241" s="22" t="s">
        <v>17</v>
      </c>
      <c r="D241" s="22" t="s">
        <v>17</v>
      </c>
      <c r="E241" s="22" t="s">
        <v>1390</v>
      </c>
      <c r="F241" s="22" t="n">
        <v>1</v>
      </c>
      <c r="G241" s="22" t="n">
        <v>2024</v>
      </c>
      <c r="H241" s="22" t="s">
        <v>376</v>
      </c>
      <c r="I241" s="22" t="s">
        <v>278</v>
      </c>
      <c r="J241" s="22" t="s">
        <v>82</v>
      </c>
      <c r="K241" s="22" t="s">
        <v>1194</v>
      </c>
      <c r="L241" s="22" t="s">
        <v>537</v>
      </c>
      <c r="M241" s="22" t="s">
        <v>1391</v>
      </c>
      <c r="N241" s="23" t="s">
        <v>1392</v>
      </c>
      <c r="O241" s="22" t="s">
        <v>17</v>
      </c>
      <c r="P241" s="22" t="s">
        <v>17</v>
      </c>
      <c r="Q241" s="8" t="s">
        <v>44</v>
      </c>
    </row>
    <row r="242" customFormat="false" ht="39.75" hidden="false" customHeight="true" outlineLevel="0" collapsed="false">
      <c r="A242" s="9" t="s">
        <v>276</v>
      </c>
      <c r="B242" s="9" t="n">
        <v>40</v>
      </c>
      <c r="C242" s="22" t="s">
        <v>17</v>
      </c>
      <c r="D242" s="22" t="s">
        <v>17</v>
      </c>
      <c r="E242" s="22" t="s">
        <v>1393</v>
      </c>
      <c r="F242" s="22" t="n">
        <v>2</v>
      </c>
      <c r="G242" s="22" t="n">
        <v>2024</v>
      </c>
      <c r="H242" s="22" t="s">
        <v>376</v>
      </c>
      <c r="I242" s="22" t="s">
        <v>278</v>
      </c>
      <c r="J242" s="22" t="s">
        <v>82</v>
      </c>
      <c r="K242" s="22" t="s">
        <v>1194</v>
      </c>
      <c r="L242" s="22" t="s">
        <v>1394</v>
      </c>
      <c r="M242" s="22" t="s">
        <v>1395</v>
      </c>
      <c r="N242" s="23" t="s">
        <v>1392</v>
      </c>
      <c r="O242" s="22" t="s">
        <v>17</v>
      </c>
      <c r="P242" s="22" t="s">
        <v>17</v>
      </c>
      <c r="Q242" s="8" t="s">
        <v>286</v>
      </c>
    </row>
    <row r="243" customFormat="false" ht="39.75" hidden="false" customHeight="true" outlineLevel="0" collapsed="false">
      <c r="A243" s="9" t="s">
        <v>276</v>
      </c>
      <c r="B243" s="9" t="n">
        <v>40</v>
      </c>
      <c r="C243" s="22" t="s">
        <v>17</v>
      </c>
      <c r="D243" s="22" t="s">
        <v>17</v>
      </c>
      <c r="E243" s="22" t="s">
        <v>1396</v>
      </c>
      <c r="F243" s="22" t="n">
        <v>3</v>
      </c>
      <c r="G243" s="22" t="n">
        <v>2024</v>
      </c>
      <c r="H243" s="22" t="s">
        <v>376</v>
      </c>
      <c r="I243" s="22" t="s">
        <v>278</v>
      </c>
      <c r="J243" s="22" t="s">
        <v>82</v>
      </c>
      <c r="K243" s="22" t="s">
        <v>1194</v>
      </c>
      <c r="L243" s="22" t="s">
        <v>286</v>
      </c>
      <c r="M243" s="22" t="s">
        <v>1397</v>
      </c>
      <c r="N243" s="23" t="s">
        <v>1392</v>
      </c>
      <c r="O243" s="22" t="s">
        <v>17</v>
      </c>
      <c r="P243" s="22" t="s">
        <v>17</v>
      </c>
      <c r="Q243" s="8" t="s">
        <v>286</v>
      </c>
    </row>
    <row r="244" customFormat="false" ht="39.75" hidden="false" customHeight="true" outlineLevel="0" collapsed="false">
      <c r="A244" s="9" t="s">
        <v>276</v>
      </c>
      <c r="B244" s="9" t="n">
        <v>40</v>
      </c>
      <c r="C244" s="22" t="s">
        <v>17</v>
      </c>
      <c r="D244" s="22" t="s">
        <v>17</v>
      </c>
      <c r="E244" s="22" t="s">
        <v>1398</v>
      </c>
      <c r="F244" s="22" t="n">
        <v>4</v>
      </c>
      <c r="G244" s="22" t="n">
        <v>2024</v>
      </c>
      <c r="H244" s="22" t="s">
        <v>376</v>
      </c>
      <c r="I244" s="22" t="s">
        <v>278</v>
      </c>
      <c r="J244" s="22" t="s">
        <v>82</v>
      </c>
      <c r="K244" s="22" t="s">
        <v>1194</v>
      </c>
      <c r="L244" s="22" t="s">
        <v>286</v>
      </c>
      <c r="M244" s="22" t="s">
        <v>1399</v>
      </c>
      <c r="N244" s="23" t="s">
        <v>1392</v>
      </c>
      <c r="O244" s="22" t="s">
        <v>17</v>
      </c>
      <c r="P244" s="22" t="s">
        <v>17</v>
      </c>
      <c r="Q244" s="8" t="s">
        <v>286</v>
      </c>
    </row>
    <row r="245" customFormat="false" ht="39.75" hidden="false" customHeight="true" outlineLevel="0" collapsed="false">
      <c r="A245" s="9" t="s">
        <v>276</v>
      </c>
      <c r="B245" s="9" t="n">
        <v>40</v>
      </c>
      <c r="C245" s="22" t="s">
        <v>17</v>
      </c>
      <c r="D245" s="22" t="s">
        <v>17</v>
      </c>
      <c r="E245" s="22" t="s">
        <v>1400</v>
      </c>
      <c r="F245" s="22" t="n">
        <v>5</v>
      </c>
      <c r="G245" s="22" t="n">
        <v>2024</v>
      </c>
      <c r="H245" s="22" t="s">
        <v>376</v>
      </c>
      <c r="I245" s="22" t="s">
        <v>278</v>
      </c>
      <c r="J245" s="22" t="s">
        <v>82</v>
      </c>
      <c r="K245" s="22" t="s">
        <v>1194</v>
      </c>
      <c r="L245" s="22" t="s">
        <v>629</v>
      </c>
      <c r="M245" s="22" t="s">
        <v>1401</v>
      </c>
      <c r="N245" s="23" t="s">
        <v>1392</v>
      </c>
      <c r="O245" s="22" t="s">
        <v>17</v>
      </c>
      <c r="P245" s="22" t="s">
        <v>17</v>
      </c>
      <c r="Q245" s="8" t="s">
        <v>286</v>
      </c>
    </row>
    <row r="246" customFormat="false" ht="39.75" hidden="false" customHeight="true" outlineLevel="0" collapsed="false">
      <c r="A246" s="9" t="s">
        <v>276</v>
      </c>
      <c r="B246" s="9" t="n">
        <v>40</v>
      </c>
      <c r="C246" s="22" t="s">
        <v>17</v>
      </c>
      <c r="D246" s="22" t="s">
        <v>17</v>
      </c>
      <c r="E246" s="22" t="s">
        <v>1402</v>
      </c>
      <c r="F246" s="22" t="n">
        <v>6</v>
      </c>
      <c r="G246" s="22" t="n">
        <v>2024</v>
      </c>
      <c r="H246" s="22" t="s">
        <v>376</v>
      </c>
      <c r="I246" s="22" t="s">
        <v>278</v>
      </c>
      <c r="J246" s="22" t="s">
        <v>82</v>
      </c>
      <c r="K246" s="22" t="s">
        <v>1194</v>
      </c>
      <c r="L246" s="22" t="s">
        <v>1317</v>
      </c>
      <c r="M246" s="22" t="s">
        <v>1403</v>
      </c>
      <c r="N246" s="23" t="s">
        <v>1392</v>
      </c>
      <c r="O246" s="22" t="s">
        <v>17</v>
      </c>
      <c r="P246" s="22" t="s">
        <v>17</v>
      </c>
      <c r="Q246" s="8" t="s">
        <v>25</v>
      </c>
    </row>
    <row r="247" customFormat="false" ht="39.75" hidden="false" customHeight="true" outlineLevel="0" collapsed="false">
      <c r="A247" s="9" t="s">
        <v>276</v>
      </c>
      <c r="B247" s="9" t="n">
        <v>40</v>
      </c>
      <c r="C247" s="22" t="s">
        <v>17</v>
      </c>
      <c r="D247" s="22" t="s">
        <v>17</v>
      </c>
      <c r="E247" s="22" t="s">
        <v>1404</v>
      </c>
      <c r="F247" s="22" t="n">
        <v>7</v>
      </c>
      <c r="G247" s="22" t="n">
        <v>2024</v>
      </c>
      <c r="H247" s="22" t="s">
        <v>376</v>
      </c>
      <c r="I247" s="22" t="s">
        <v>278</v>
      </c>
      <c r="J247" s="22" t="s">
        <v>82</v>
      </c>
      <c r="K247" s="22" t="s">
        <v>1194</v>
      </c>
      <c r="L247" s="22" t="s">
        <v>537</v>
      </c>
      <c r="M247" s="22" t="s">
        <v>1405</v>
      </c>
      <c r="N247" s="23" t="s">
        <v>1392</v>
      </c>
      <c r="O247" s="22" t="s">
        <v>17</v>
      </c>
      <c r="P247" s="22" t="s">
        <v>17</v>
      </c>
      <c r="Q247" s="8" t="s">
        <v>44</v>
      </c>
    </row>
    <row r="248" customFormat="false" ht="39.75" hidden="false" customHeight="true" outlineLevel="0" collapsed="false">
      <c r="A248" s="9" t="s">
        <v>276</v>
      </c>
      <c r="B248" s="9" t="n">
        <v>40</v>
      </c>
      <c r="C248" s="22" t="s">
        <v>17</v>
      </c>
      <c r="D248" s="22" t="s">
        <v>17</v>
      </c>
      <c r="E248" s="22" t="s">
        <v>1406</v>
      </c>
      <c r="F248" s="22" t="n">
        <v>8</v>
      </c>
      <c r="G248" s="22" t="n">
        <v>2024</v>
      </c>
      <c r="H248" s="22" t="s">
        <v>376</v>
      </c>
      <c r="I248" s="22" t="s">
        <v>278</v>
      </c>
      <c r="J248" s="22" t="s">
        <v>82</v>
      </c>
      <c r="K248" s="22" t="s">
        <v>1194</v>
      </c>
      <c r="L248" s="22" t="s">
        <v>537</v>
      </c>
      <c r="M248" s="22" t="s">
        <v>1407</v>
      </c>
      <c r="N248" s="23" t="s">
        <v>1392</v>
      </c>
      <c r="O248" s="22" t="s">
        <v>17</v>
      </c>
      <c r="P248" s="22" t="s">
        <v>17</v>
      </c>
      <c r="Q248" s="8" t="s">
        <v>44</v>
      </c>
    </row>
    <row r="249" customFormat="false" ht="39.75" hidden="false" customHeight="true" outlineLevel="0" collapsed="false">
      <c r="A249" s="9" t="s">
        <v>276</v>
      </c>
      <c r="B249" s="9" t="n">
        <v>40</v>
      </c>
      <c r="C249" s="22" t="s">
        <v>17</v>
      </c>
      <c r="D249" s="22" t="s">
        <v>17</v>
      </c>
      <c r="E249" s="22" t="s">
        <v>1408</v>
      </c>
      <c r="F249" s="22" t="n">
        <v>9</v>
      </c>
      <c r="G249" s="22" t="n">
        <v>2024</v>
      </c>
      <c r="H249" s="22" t="s">
        <v>376</v>
      </c>
      <c r="I249" s="22" t="s">
        <v>278</v>
      </c>
      <c r="J249" s="22" t="s">
        <v>82</v>
      </c>
      <c r="K249" s="22" t="s">
        <v>1194</v>
      </c>
      <c r="L249" s="22" t="s">
        <v>537</v>
      </c>
      <c r="M249" s="22" t="s">
        <v>1409</v>
      </c>
      <c r="N249" s="23" t="s">
        <v>1392</v>
      </c>
      <c r="O249" s="22" t="s">
        <v>17</v>
      </c>
      <c r="P249" s="22" t="s">
        <v>17</v>
      </c>
      <c r="Q249" s="8" t="s">
        <v>44</v>
      </c>
    </row>
    <row r="250" customFormat="false" ht="39.75" hidden="false" customHeight="true" outlineLevel="0" collapsed="false">
      <c r="A250" s="9" t="s">
        <v>16</v>
      </c>
      <c r="B250" s="9" t="n">
        <v>1</v>
      </c>
      <c r="C250" s="22" t="s">
        <v>446</v>
      </c>
      <c r="D250" s="8" t="s">
        <v>307</v>
      </c>
      <c r="E250" s="22" t="s">
        <v>1410</v>
      </c>
      <c r="F250" s="22" t="n">
        <v>29</v>
      </c>
      <c r="G250" s="22" t="n">
        <v>2025</v>
      </c>
      <c r="H250" s="22" t="s">
        <v>314</v>
      </c>
      <c r="I250" s="22" t="s">
        <v>19</v>
      </c>
      <c r="J250" s="22" t="s">
        <v>1411</v>
      </c>
      <c r="K250" s="22" t="s">
        <v>1412</v>
      </c>
      <c r="L250" s="22" t="s">
        <v>25</v>
      </c>
      <c r="M250" s="22" t="s">
        <v>1413</v>
      </c>
      <c r="N250" s="32" t="s">
        <v>1414</v>
      </c>
      <c r="O250" s="8"/>
      <c r="P250" s="8" t="n">
        <v>8900</v>
      </c>
      <c r="Q250" s="8" t="s">
        <v>25</v>
      </c>
    </row>
    <row r="251" customFormat="false" ht="39.75" hidden="false" customHeight="true" outlineLevel="0" collapsed="false">
      <c r="A251" s="9" t="s">
        <v>16</v>
      </c>
      <c r="B251" s="9" t="n">
        <v>1</v>
      </c>
      <c r="C251" s="22" t="s">
        <v>446</v>
      </c>
      <c r="D251" s="8" t="s">
        <v>307</v>
      </c>
      <c r="E251" s="22" t="s">
        <v>1415</v>
      </c>
      <c r="F251" s="22" t="n">
        <v>30</v>
      </c>
      <c r="G251" s="22" t="n">
        <v>2025</v>
      </c>
      <c r="H251" s="22" t="s">
        <v>314</v>
      </c>
      <c r="I251" s="22" t="s">
        <v>19</v>
      </c>
      <c r="J251" s="22" t="s">
        <v>1411</v>
      </c>
      <c r="K251" s="22" t="s">
        <v>1416</v>
      </c>
      <c r="L251" s="22" t="s">
        <v>110</v>
      </c>
      <c r="M251" s="22" t="s">
        <v>1417</v>
      </c>
      <c r="N251" s="32" t="s">
        <v>1418</v>
      </c>
      <c r="O251" s="8"/>
      <c r="P251" s="8" t="n">
        <v>277</v>
      </c>
      <c r="Q251" s="8" t="s">
        <v>110</v>
      </c>
    </row>
    <row r="252" customFormat="false" ht="39.75" hidden="false" customHeight="true" outlineLevel="0" collapsed="false">
      <c r="A252" s="9" t="s">
        <v>16</v>
      </c>
      <c r="B252" s="9" t="n">
        <v>1</v>
      </c>
      <c r="C252" s="22" t="s">
        <v>446</v>
      </c>
      <c r="D252" s="8" t="s">
        <v>307</v>
      </c>
      <c r="E252" s="22" t="s">
        <v>1415</v>
      </c>
      <c r="F252" s="22" t="n">
        <v>31</v>
      </c>
      <c r="G252" s="22" t="n">
        <v>2025</v>
      </c>
      <c r="H252" s="22" t="s">
        <v>314</v>
      </c>
      <c r="I252" s="22" t="s">
        <v>19</v>
      </c>
      <c r="J252" s="22" t="s">
        <v>1092</v>
      </c>
      <c r="K252" s="22" t="s">
        <v>1419</v>
      </c>
      <c r="L252" s="22" t="s">
        <v>110</v>
      </c>
      <c r="M252" s="22" t="s">
        <v>1417</v>
      </c>
      <c r="N252" s="32" t="s">
        <v>1418</v>
      </c>
      <c r="O252" s="8"/>
      <c r="P252" s="8" t="n">
        <v>1300</v>
      </c>
      <c r="Q252" s="8" t="s">
        <v>110</v>
      </c>
    </row>
    <row r="253" customFormat="false" ht="39.75" hidden="false" customHeight="true" outlineLevel="0" collapsed="false">
      <c r="A253" s="4" t="s">
        <v>138</v>
      </c>
      <c r="B253" s="8" t="n">
        <v>15</v>
      </c>
      <c r="C253" s="8" t="s">
        <v>153</v>
      </c>
      <c r="D253" s="8" t="s">
        <v>90</v>
      </c>
      <c r="E253" s="8" t="s">
        <v>1420</v>
      </c>
      <c r="F253" s="8" t="n">
        <v>4</v>
      </c>
      <c r="G253" s="8" t="n">
        <v>2023</v>
      </c>
      <c r="H253" s="8" t="s">
        <v>273</v>
      </c>
      <c r="I253" s="8" t="s">
        <v>128</v>
      </c>
      <c r="J253" s="8" t="s">
        <v>535</v>
      </c>
      <c r="K253" s="8" t="s">
        <v>1421</v>
      </c>
      <c r="L253" s="8" t="s">
        <v>386</v>
      </c>
      <c r="M253" s="8" t="s">
        <v>1422</v>
      </c>
      <c r="N253" s="8" t="s">
        <v>1423</v>
      </c>
      <c r="O253" s="8" t="n">
        <v>20000</v>
      </c>
      <c r="P253" s="8" t="n">
        <v>126.6</v>
      </c>
      <c r="Q253" s="8" t="s">
        <v>286</v>
      </c>
    </row>
    <row r="254" customFormat="false" ht="39.75" hidden="false" customHeight="true" outlineLevel="0" collapsed="false">
      <c r="A254" s="4" t="s">
        <v>138</v>
      </c>
      <c r="B254" s="8" t="n">
        <v>15</v>
      </c>
      <c r="C254" s="8" t="s">
        <v>153</v>
      </c>
      <c r="D254" s="8" t="s">
        <v>90</v>
      </c>
      <c r="E254" s="8" t="s">
        <v>1424</v>
      </c>
      <c r="F254" s="8" t="n">
        <v>5</v>
      </c>
      <c r="G254" s="8" t="n">
        <v>2025</v>
      </c>
      <c r="H254" s="8" t="s">
        <v>1425</v>
      </c>
      <c r="I254" s="8" t="s">
        <v>128</v>
      </c>
      <c r="J254" s="8" t="s">
        <v>535</v>
      </c>
      <c r="K254" s="8" t="s">
        <v>1426</v>
      </c>
      <c r="L254" s="8" t="s">
        <v>1427</v>
      </c>
      <c r="M254" s="8" t="s">
        <v>1428</v>
      </c>
      <c r="N254" s="32" t="s">
        <v>1429</v>
      </c>
      <c r="O254" s="8" t="n">
        <v>1000000</v>
      </c>
      <c r="P254" s="8" t="n">
        <v>6329</v>
      </c>
      <c r="Q254" s="8" t="s">
        <v>25</v>
      </c>
    </row>
    <row r="255" customFormat="false" ht="39.75" hidden="false" customHeight="true" outlineLevel="0" collapsed="false">
      <c r="A255" s="4" t="s">
        <v>147</v>
      </c>
      <c r="B255" s="8" t="n">
        <v>16</v>
      </c>
      <c r="C255" s="8" t="s">
        <v>17</v>
      </c>
      <c r="D255" s="8" t="s">
        <v>17</v>
      </c>
      <c r="E255" s="8" t="s">
        <v>1430</v>
      </c>
      <c r="F255" s="8" t="n">
        <v>5</v>
      </c>
      <c r="G255" s="8" t="n">
        <v>2023</v>
      </c>
      <c r="H255" s="8" t="s">
        <v>230</v>
      </c>
      <c r="I255" s="8" t="s">
        <v>128</v>
      </c>
      <c r="J255" s="8" t="s">
        <v>66</v>
      </c>
      <c r="K255" s="8" t="s">
        <v>1431</v>
      </c>
      <c r="L255" s="8" t="s">
        <v>25</v>
      </c>
      <c r="M255" s="8" t="s">
        <v>1432</v>
      </c>
      <c r="N255" s="32" t="s">
        <v>1433</v>
      </c>
      <c r="O255" s="8" t="n">
        <v>15900</v>
      </c>
      <c r="P255" s="8" t="n">
        <v>100.6</v>
      </c>
      <c r="Q255" s="8" t="s">
        <v>25</v>
      </c>
    </row>
    <row r="256" customFormat="false" ht="39.75" hidden="false" customHeight="true" outlineLevel="0" collapsed="false">
      <c r="A256" s="4" t="s">
        <v>147</v>
      </c>
      <c r="B256" s="4" t="n">
        <v>16</v>
      </c>
      <c r="C256" s="4" t="s">
        <v>17</v>
      </c>
      <c r="D256" s="4" t="s">
        <v>17</v>
      </c>
      <c r="E256" s="4" t="s">
        <v>1434</v>
      </c>
      <c r="F256" s="4" t="n">
        <v>6</v>
      </c>
      <c r="G256" s="4" t="n">
        <v>2023</v>
      </c>
      <c r="H256" s="4" t="s">
        <v>1200</v>
      </c>
      <c r="I256" s="4" t="s">
        <v>128</v>
      </c>
      <c r="J256" s="4" t="s">
        <v>66</v>
      </c>
      <c r="K256" s="4" t="s">
        <v>1435</v>
      </c>
      <c r="L256" s="4" t="s">
        <v>286</v>
      </c>
      <c r="M256" s="4" t="s">
        <v>1436</v>
      </c>
      <c r="N256" s="4" t="s">
        <v>1437</v>
      </c>
      <c r="O256" s="4" t="n">
        <v>40500</v>
      </c>
      <c r="P256" s="4" t="n">
        <v>300</v>
      </c>
      <c r="Q256" s="4" t="s">
        <v>286</v>
      </c>
    </row>
    <row r="257" customFormat="false" ht="39.75" hidden="false" customHeight="true" outlineLevel="0" collapsed="false">
      <c r="A257" s="4" t="s">
        <v>147</v>
      </c>
      <c r="B257" s="4" t="n">
        <v>16</v>
      </c>
      <c r="C257" s="4" t="s">
        <v>17</v>
      </c>
      <c r="D257" s="4" t="s">
        <v>17</v>
      </c>
      <c r="E257" s="4" t="s">
        <v>1438</v>
      </c>
      <c r="F257" s="4" t="n">
        <v>7</v>
      </c>
      <c r="G257" s="4" t="n">
        <v>2023</v>
      </c>
      <c r="H257" s="4" t="s">
        <v>114</v>
      </c>
      <c r="I257" s="4" t="s">
        <v>128</v>
      </c>
      <c r="J257" s="4" t="s">
        <v>66</v>
      </c>
      <c r="K257" s="4" t="s">
        <v>1439</v>
      </c>
      <c r="L257" s="4" t="s">
        <v>110</v>
      </c>
      <c r="M257" s="4" t="s">
        <v>1440</v>
      </c>
      <c r="N257" s="4" t="s">
        <v>1441</v>
      </c>
      <c r="O257" s="4" t="n">
        <v>75000</v>
      </c>
      <c r="P257" s="4" t="n">
        <v>555</v>
      </c>
      <c r="Q257" s="4" t="s">
        <v>110</v>
      </c>
    </row>
    <row r="258" customFormat="false" ht="39.75" hidden="false" customHeight="true" outlineLevel="0" collapsed="false">
      <c r="A258" s="4" t="s">
        <v>147</v>
      </c>
      <c r="B258" s="4" t="n">
        <v>16</v>
      </c>
      <c r="C258" s="4" t="s">
        <v>17</v>
      </c>
      <c r="D258" s="4" t="s">
        <v>17</v>
      </c>
      <c r="E258" s="4" t="s">
        <v>1442</v>
      </c>
      <c r="F258" s="4" t="n">
        <v>8</v>
      </c>
      <c r="G258" s="4" t="n">
        <v>2023</v>
      </c>
      <c r="H258" s="4" t="s">
        <v>18</v>
      </c>
      <c r="I258" s="4" t="s">
        <v>128</v>
      </c>
      <c r="J258" s="4" t="s">
        <v>66</v>
      </c>
      <c r="K258" s="4" t="s">
        <v>1443</v>
      </c>
      <c r="L258" s="4" t="s">
        <v>38</v>
      </c>
      <c r="M258" s="4" t="s">
        <v>1444</v>
      </c>
      <c r="N258" s="4" t="s">
        <v>152</v>
      </c>
      <c r="O258" s="4" t="n">
        <v>11100</v>
      </c>
      <c r="P258" s="4" t="n">
        <v>82</v>
      </c>
      <c r="Q258" s="4" t="s">
        <v>38</v>
      </c>
    </row>
    <row r="259" customFormat="false" ht="39.75" hidden="false" customHeight="true" outlineLevel="0" collapsed="false">
      <c r="A259" s="4" t="s">
        <v>147</v>
      </c>
      <c r="B259" s="4" t="n">
        <v>16</v>
      </c>
      <c r="C259" s="4" t="s">
        <v>17</v>
      </c>
      <c r="D259" s="4" t="s">
        <v>17</v>
      </c>
      <c r="E259" s="4" t="s">
        <v>1445</v>
      </c>
      <c r="F259" s="4" t="n">
        <v>9</v>
      </c>
      <c r="G259" s="4" t="n">
        <v>2023</v>
      </c>
      <c r="H259" s="4" t="s">
        <v>1200</v>
      </c>
      <c r="I259" s="4" t="s">
        <v>128</v>
      </c>
      <c r="J259" s="4" t="s">
        <v>66</v>
      </c>
      <c r="K259" s="4" t="s">
        <v>1446</v>
      </c>
      <c r="L259" s="4" t="s">
        <v>110</v>
      </c>
      <c r="M259" s="4" t="s">
        <v>1447</v>
      </c>
      <c r="N259" s="4" t="s">
        <v>152</v>
      </c>
      <c r="O259" s="4" t="n">
        <v>11400</v>
      </c>
      <c r="P259" s="4" t="n">
        <v>76.3</v>
      </c>
      <c r="Q259" s="4" t="s">
        <v>110</v>
      </c>
    </row>
    <row r="260" customFormat="false" ht="39.75" hidden="false" customHeight="true" outlineLevel="0" collapsed="false">
      <c r="A260" s="4" t="s">
        <v>147</v>
      </c>
      <c r="B260" s="4" t="n">
        <v>16</v>
      </c>
      <c r="C260" s="4" t="s">
        <v>17</v>
      </c>
      <c r="D260" s="4" t="s">
        <v>17</v>
      </c>
      <c r="E260" s="4" t="s">
        <v>1448</v>
      </c>
      <c r="F260" s="4" t="n">
        <v>10</v>
      </c>
      <c r="G260" s="4" t="n">
        <v>2023</v>
      </c>
      <c r="H260" s="4" t="s">
        <v>1200</v>
      </c>
      <c r="I260" s="4" t="s">
        <v>128</v>
      </c>
      <c r="J260" s="4" t="s">
        <v>66</v>
      </c>
      <c r="K260" s="4" t="s">
        <v>1449</v>
      </c>
      <c r="L260" s="4" t="s">
        <v>110</v>
      </c>
      <c r="M260" s="4" t="s">
        <v>1450</v>
      </c>
      <c r="N260" s="4" t="s">
        <v>152</v>
      </c>
      <c r="O260" s="4" t="n">
        <v>11000</v>
      </c>
      <c r="P260" s="4" t="n">
        <v>74.1</v>
      </c>
      <c r="Q260" s="4" t="s">
        <v>110</v>
      </c>
    </row>
    <row r="261" customFormat="false" ht="39.75" hidden="false" customHeight="true" outlineLevel="0" collapsed="false">
      <c r="A261" s="4" t="s">
        <v>147</v>
      </c>
      <c r="B261" s="4" t="n">
        <v>16</v>
      </c>
      <c r="C261" s="4" t="s">
        <v>17</v>
      </c>
      <c r="D261" s="4" t="s">
        <v>17</v>
      </c>
      <c r="E261" s="4" t="s">
        <v>1451</v>
      </c>
      <c r="F261" s="4" t="n">
        <v>11</v>
      </c>
      <c r="G261" s="4" t="n">
        <v>2023</v>
      </c>
      <c r="H261" s="4" t="s">
        <v>1200</v>
      </c>
      <c r="I261" s="4" t="s">
        <v>128</v>
      </c>
      <c r="J261" s="4" t="s">
        <v>66</v>
      </c>
      <c r="K261" s="4" t="s">
        <v>1452</v>
      </c>
      <c r="L261" s="4" t="s">
        <v>286</v>
      </c>
      <c r="M261" s="4" t="s">
        <v>1453</v>
      </c>
      <c r="N261" s="4" t="s">
        <v>152</v>
      </c>
      <c r="O261" s="4" t="n">
        <v>19800</v>
      </c>
      <c r="P261" s="4" t="n">
        <v>132</v>
      </c>
      <c r="Q261" s="4" t="s">
        <v>286</v>
      </c>
    </row>
    <row r="262" customFormat="false" ht="39.75" hidden="false" customHeight="true" outlineLevel="0" collapsed="false">
      <c r="A262" s="4" t="s">
        <v>147</v>
      </c>
      <c r="B262" s="4" t="n">
        <v>16</v>
      </c>
      <c r="C262" s="4" t="s">
        <v>17</v>
      </c>
      <c r="D262" s="4" t="s">
        <v>17</v>
      </c>
      <c r="E262" s="4" t="s">
        <v>1454</v>
      </c>
      <c r="F262" s="4" t="n">
        <v>12</v>
      </c>
      <c r="G262" s="4" t="n">
        <v>2023</v>
      </c>
      <c r="H262" s="4" t="s">
        <v>1200</v>
      </c>
      <c r="I262" s="4" t="s">
        <v>128</v>
      </c>
      <c r="J262" s="4" t="s">
        <v>66</v>
      </c>
      <c r="K262" s="4" t="s">
        <v>1455</v>
      </c>
      <c r="L262" s="4" t="s">
        <v>110</v>
      </c>
      <c r="M262" s="4" t="s">
        <v>1456</v>
      </c>
      <c r="N262" s="4" t="s">
        <v>152</v>
      </c>
      <c r="O262" s="4" t="n">
        <v>30000</v>
      </c>
      <c r="P262" s="4" t="n">
        <v>199</v>
      </c>
      <c r="Q262" s="4" t="s">
        <v>110</v>
      </c>
    </row>
    <row r="263" customFormat="false" ht="39.75" hidden="false" customHeight="true" outlineLevel="0" collapsed="false">
      <c r="A263" s="4" t="s">
        <v>147</v>
      </c>
      <c r="B263" s="4" t="n">
        <v>16</v>
      </c>
      <c r="C263" s="4" t="s">
        <v>17</v>
      </c>
      <c r="D263" s="4" t="s">
        <v>17</v>
      </c>
      <c r="E263" s="4" t="s">
        <v>1457</v>
      </c>
      <c r="F263" s="4" t="n">
        <v>13</v>
      </c>
      <c r="G263" s="4" t="n">
        <v>2024</v>
      </c>
      <c r="H263" s="4" t="s">
        <v>650</v>
      </c>
      <c r="I263" s="4" t="s">
        <v>128</v>
      </c>
      <c r="J263" s="4" t="s">
        <v>66</v>
      </c>
      <c r="K263" s="4" t="s">
        <v>1458</v>
      </c>
      <c r="L263" s="4" t="s">
        <v>38</v>
      </c>
      <c r="M263" s="4" t="s">
        <v>1459</v>
      </c>
      <c r="N263" s="4" t="s">
        <v>1460</v>
      </c>
      <c r="O263" s="4" t="n">
        <v>900</v>
      </c>
      <c r="P263" s="4" t="n">
        <v>6</v>
      </c>
      <c r="Q263" s="4" t="s">
        <v>38</v>
      </c>
    </row>
    <row r="264" customFormat="false" ht="39.75" hidden="false" customHeight="true" outlineLevel="0" collapsed="false">
      <c r="A264" s="4" t="s">
        <v>147</v>
      </c>
      <c r="B264" s="4" t="n">
        <v>16</v>
      </c>
      <c r="C264" s="4" t="s">
        <v>17</v>
      </c>
      <c r="D264" s="4" t="s">
        <v>17</v>
      </c>
      <c r="E264" s="4" t="s">
        <v>1461</v>
      </c>
      <c r="F264" s="4" t="n">
        <v>14</v>
      </c>
      <c r="G264" s="4" t="n">
        <v>2024</v>
      </c>
      <c r="H264" s="4" t="s">
        <v>650</v>
      </c>
      <c r="I264" s="4" t="s">
        <v>128</v>
      </c>
      <c r="J264" s="4" t="s">
        <v>66</v>
      </c>
      <c r="K264" s="4" t="s">
        <v>1462</v>
      </c>
      <c r="L264" s="4" t="s">
        <v>110</v>
      </c>
      <c r="M264" s="4" t="s">
        <v>1463</v>
      </c>
      <c r="N264" s="4" t="s">
        <v>1460</v>
      </c>
      <c r="O264" s="4" t="n">
        <v>1400</v>
      </c>
      <c r="P264" s="4" t="n">
        <v>9</v>
      </c>
      <c r="Q264" s="4" t="s">
        <v>110</v>
      </c>
    </row>
    <row r="265" customFormat="false" ht="39.75" hidden="false" customHeight="true" outlineLevel="0" collapsed="false">
      <c r="A265" s="4" t="s">
        <v>147</v>
      </c>
      <c r="B265" s="4" t="n">
        <v>16</v>
      </c>
      <c r="C265" s="4" t="s">
        <v>17</v>
      </c>
      <c r="D265" s="4" t="s">
        <v>17</v>
      </c>
      <c r="E265" s="4" t="s">
        <v>1464</v>
      </c>
      <c r="F265" s="4" t="n">
        <v>15</v>
      </c>
      <c r="G265" s="4" t="n">
        <v>2024</v>
      </c>
      <c r="H265" s="4" t="s">
        <v>273</v>
      </c>
      <c r="I265" s="4" t="s">
        <v>128</v>
      </c>
      <c r="J265" s="4" t="s">
        <v>66</v>
      </c>
      <c r="K265" s="4" t="s">
        <v>1465</v>
      </c>
      <c r="L265" s="4" t="s">
        <v>110</v>
      </c>
      <c r="M265" s="4" t="s">
        <v>1466</v>
      </c>
      <c r="N265" s="4" t="s">
        <v>1460</v>
      </c>
      <c r="O265" s="4" t="n">
        <v>3700</v>
      </c>
      <c r="P265" s="4" t="n">
        <v>24</v>
      </c>
      <c r="Q265" s="4" t="s">
        <v>110</v>
      </c>
    </row>
    <row r="266" customFormat="false" ht="39.75" hidden="false" customHeight="true" outlineLevel="0" collapsed="false">
      <c r="A266" s="4" t="s">
        <v>147</v>
      </c>
      <c r="B266" s="4" t="n">
        <v>16</v>
      </c>
      <c r="C266" s="4" t="s">
        <v>17</v>
      </c>
      <c r="D266" s="4" t="s">
        <v>17</v>
      </c>
      <c r="E266" s="4" t="s">
        <v>1467</v>
      </c>
      <c r="F266" s="4" t="n">
        <v>16</v>
      </c>
      <c r="G266" s="4" t="n">
        <v>2024</v>
      </c>
      <c r="H266" s="4" t="s">
        <v>273</v>
      </c>
      <c r="I266" s="4" t="s">
        <v>128</v>
      </c>
      <c r="J266" s="4" t="s">
        <v>66</v>
      </c>
      <c r="K266" s="4" t="s">
        <v>1468</v>
      </c>
      <c r="L266" s="4" t="s">
        <v>110</v>
      </c>
      <c r="M266" s="4" t="s">
        <v>1469</v>
      </c>
      <c r="N266" s="4" t="s">
        <v>1460</v>
      </c>
      <c r="O266" s="4" t="n">
        <v>8000</v>
      </c>
      <c r="P266" s="4" t="n">
        <v>53</v>
      </c>
      <c r="Q266" s="4" t="s">
        <v>110</v>
      </c>
    </row>
    <row r="267" customFormat="false" ht="39.75" hidden="false" customHeight="true" outlineLevel="0" collapsed="false">
      <c r="A267" s="4" t="s">
        <v>147</v>
      </c>
      <c r="B267" s="4" t="n">
        <v>16</v>
      </c>
      <c r="C267" s="4" t="s">
        <v>17</v>
      </c>
      <c r="D267" s="4" t="s">
        <v>17</v>
      </c>
      <c r="E267" s="4" t="s">
        <v>1470</v>
      </c>
      <c r="F267" s="4" t="n">
        <v>17</v>
      </c>
      <c r="G267" s="4" t="n">
        <v>2024</v>
      </c>
      <c r="H267" s="4" t="s">
        <v>650</v>
      </c>
      <c r="I267" s="4" t="s">
        <v>128</v>
      </c>
      <c r="J267" s="4" t="s">
        <v>66</v>
      </c>
      <c r="K267" s="4" t="s">
        <v>1471</v>
      </c>
      <c r="L267" s="4" t="s">
        <v>44</v>
      </c>
      <c r="M267" s="4" t="s">
        <v>1472</v>
      </c>
      <c r="N267" s="4" t="s">
        <v>1460</v>
      </c>
      <c r="O267" s="4" t="n">
        <v>4400</v>
      </c>
      <c r="P267" s="4" t="n">
        <v>29</v>
      </c>
      <c r="Q267" s="4" t="s">
        <v>44</v>
      </c>
    </row>
    <row r="268" customFormat="false" ht="39.75" hidden="false" customHeight="true" outlineLevel="0" collapsed="false">
      <c r="A268" s="4" t="s">
        <v>147</v>
      </c>
      <c r="B268" s="4" t="n">
        <v>16</v>
      </c>
      <c r="C268" s="4" t="s">
        <v>17</v>
      </c>
      <c r="D268" s="4" t="s">
        <v>17</v>
      </c>
      <c r="E268" s="4" t="s">
        <v>1473</v>
      </c>
      <c r="F268" s="4" t="n">
        <v>18</v>
      </c>
      <c r="G268" s="4" t="n">
        <v>2025</v>
      </c>
      <c r="H268" s="4" t="s">
        <v>289</v>
      </c>
      <c r="I268" s="4" t="s">
        <v>128</v>
      </c>
      <c r="J268" s="4" t="s">
        <v>66</v>
      </c>
      <c r="K268" s="4" t="s">
        <v>1474</v>
      </c>
      <c r="L268" s="4" t="s">
        <v>110</v>
      </c>
      <c r="M268" s="4" t="s">
        <v>1475</v>
      </c>
      <c r="N268" s="4" t="s">
        <v>1476</v>
      </c>
      <c r="O268" s="4" t="n">
        <v>2200</v>
      </c>
      <c r="P268" s="4" t="n">
        <v>15</v>
      </c>
      <c r="Q268" s="4" t="s">
        <v>110</v>
      </c>
    </row>
    <row r="269" customFormat="false" ht="39.75" hidden="false" customHeight="true" outlineLevel="0" collapsed="false">
      <c r="A269" s="4" t="s">
        <v>147</v>
      </c>
      <c r="B269" s="4" t="n">
        <v>16</v>
      </c>
      <c r="C269" s="4" t="s">
        <v>17</v>
      </c>
      <c r="D269" s="4" t="s">
        <v>17</v>
      </c>
      <c r="E269" s="4" t="s">
        <v>1477</v>
      </c>
      <c r="F269" s="4" t="n">
        <v>19</v>
      </c>
      <c r="G269" s="4" t="n">
        <v>2026</v>
      </c>
      <c r="H269" s="4" t="s">
        <v>1478</v>
      </c>
      <c r="I269" s="4" t="s">
        <v>128</v>
      </c>
      <c r="J269" s="4" t="s">
        <v>66</v>
      </c>
      <c r="K269" s="4" t="s">
        <v>1479</v>
      </c>
      <c r="L269" s="4" t="s">
        <v>25</v>
      </c>
      <c r="M269" s="4" t="s">
        <v>1480</v>
      </c>
      <c r="N269" s="4" t="s">
        <v>1481</v>
      </c>
      <c r="O269" s="4" t="n">
        <v>60000</v>
      </c>
      <c r="P269" s="4" t="n">
        <v>400</v>
      </c>
      <c r="Q269" s="4" t="s">
        <v>25</v>
      </c>
    </row>
    <row r="270" customFormat="false" ht="39.75" hidden="false" customHeight="true" outlineLevel="0" collapsed="false">
      <c r="A270" s="4" t="s">
        <v>77</v>
      </c>
      <c r="B270" s="4" t="n">
        <v>8</v>
      </c>
      <c r="C270" s="4" t="s">
        <v>1035</v>
      </c>
      <c r="D270" s="4" t="s">
        <v>96</v>
      </c>
      <c r="E270" s="4" t="s">
        <v>1482</v>
      </c>
      <c r="F270" s="4" t="n">
        <v>3</v>
      </c>
      <c r="G270" s="4" t="n">
        <v>2024</v>
      </c>
      <c r="H270" s="4" t="s">
        <v>1483</v>
      </c>
      <c r="I270" s="4" t="s">
        <v>73</v>
      </c>
      <c r="J270" s="4" t="s">
        <v>1484</v>
      </c>
      <c r="K270" s="4" t="s">
        <v>1485</v>
      </c>
      <c r="L270" s="4" t="s">
        <v>423</v>
      </c>
      <c r="M270" s="4" t="s">
        <v>1486</v>
      </c>
      <c r="N270" s="4" t="s">
        <v>1487</v>
      </c>
      <c r="O270" s="4" t="n">
        <v>93000</v>
      </c>
      <c r="P270" s="4" t="n">
        <v>13100</v>
      </c>
      <c r="Q270" s="4" t="s">
        <v>38</v>
      </c>
    </row>
    <row r="271" customFormat="false" ht="39.75" hidden="false" customHeight="true" outlineLevel="0" collapsed="false">
      <c r="A271" s="4" t="s">
        <v>77</v>
      </c>
      <c r="B271" s="4" t="n">
        <v>8</v>
      </c>
      <c r="C271" s="4" t="s">
        <v>1035</v>
      </c>
      <c r="D271" s="4" t="s">
        <v>96</v>
      </c>
      <c r="E271" s="4" t="s">
        <v>1488</v>
      </c>
      <c r="F271" s="4" t="n">
        <v>4</v>
      </c>
      <c r="G271" s="4" t="n">
        <v>2024</v>
      </c>
      <c r="H271" s="4" t="s">
        <v>1483</v>
      </c>
      <c r="I271" s="4" t="s">
        <v>73</v>
      </c>
      <c r="J271" s="4" t="s">
        <v>1484</v>
      </c>
      <c r="K271" s="4" t="s">
        <v>1489</v>
      </c>
      <c r="L271" s="4" t="s">
        <v>1324</v>
      </c>
      <c r="M271" s="4" t="s">
        <v>1490</v>
      </c>
      <c r="N271" s="4" t="s">
        <v>1491</v>
      </c>
      <c r="O271" s="4" t="n">
        <v>71000</v>
      </c>
      <c r="P271" s="4" t="n">
        <v>9700</v>
      </c>
      <c r="Q271" s="4" t="s">
        <v>38</v>
      </c>
    </row>
    <row r="272" customFormat="false" ht="39.75" hidden="false" customHeight="true" outlineLevel="0" collapsed="false">
      <c r="A272" s="4" t="s">
        <v>276</v>
      </c>
      <c r="B272" s="4" t="n">
        <v>40</v>
      </c>
      <c r="C272" s="4" t="s">
        <v>17</v>
      </c>
      <c r="D272" s="4" t="s">
        <v>17</v>
      </c>
      <c r="E272" s="4" t="s">
        <v>1492</v>
      </c>
      <c r="F272" s="4" t="n">
        <v>10</v>
      </c>
      <c r="G272" s="4" t="n">
        <v>2025</v>
      </c>
      <c r="H272" s="4" t="s">
        <v>314</v>
      </c>
      <c r="I272" s="4" t="s">
        <v>278</v>
      </c>
      <c r="J272" s="4" t="s">
        <v>66</v>
      </c>
      <c r="K272" s="4" t="s">
        <v>1493</v>
      </c>
      <c r="L272" s="4" t="s">
        <v>377</v>
      </c>
      <c r="M272" s="4" t="s">
        <v>1494</v>
      </c>
      <c r="N272" s="4" t="s">
        <v>1495</v>
      </c>
      <c r="O272" s="4" t="n">
        <v>550</v>
      </c>
      <c r="P272" s="4" t="n">
        <v>117</v>
      </c>
      <c r="Q272" s="4" t="s">
        <v>44</v>
      </c>
    </row>
    <row r="273" customFormat="false" ht="39.75" hidden="false" customHeight="true" outlineLevel="0" collapsed="false">
      <c r="A273" s="4" t="s">
        <v>276</v>
      </c>
      <c r="B273" s="4" t="n">
        <v>40</v>
      </c>
      <c r="C273" s="4" t="s">
        <v>17</v>
      </c>
      <c r="D273" s="4" t="s">
        <v>17</v>
      </c>
      <c r="E273" s="4" t="s">
        <v>1496</v>
      </c>
      <c r="F273" s="4" t="n">
        <v>11</v>
      </c>
      <c r="G273" s="4" t="n">
        <v>2025</v>
      </c>
      <c r="H273" s="4" t="s">
        <v>320</v>
      </c>
      <c r="I273" s="4" t="s">
        <v>278</v>
      </c>
      <c r="J273" s="4" t="s">
        <v>66</v>
      </c>
      <c r="K273" s="4" t="s">
        <v>1497</v>
      </c>
      <c r="L273" s="4" t="s">
        <v>537</v>
      </c>
      <c r="M273" s="4" t="s">
        <v>1498</v>
      </c>
      <c r="N273" s="4" t="s">
        <v>1499</v>
      </c>
      <c r="O273" s="4" t="n">
        <v>500</v>
      </c>
      <c r="P273" s="4" t="n">
        <v>106</v>
      </c>
      <c r="Q273" s="4" t="s">
        <v>44</v>
      </c>
    </row>
    <row r="274" customFormat="false" ht="39.75" hidden="false" customHeight="true" outlineLevel="0" collapsed="false">
      <c r="A274" s="4" t="s">
        <v>276</v>
      </c>
      <c r="B274" s="4" t="n">
        <v>40</v>
      </c>
      <c r="C274" s="4" t="s">
        <v>17</v>
      </c>
      <c r="D274" s="4" t="s">
        <v>17</v>
      </c>
      <c r="E274" s="4" t="s">
        <v>1500</v>
      </c>
      <c r="F274" s="4" t="n">
        <v>12</v>
      </c>
      <c r="G274" s="4" t="n">
        <v>2025</v>
      </c>
      <c r="H274" s="4" t="s">
        <v>685</v>
      </c>
      <c r="I274" s="4" t="s">
        <v>278</v>
      </c>
      <c r="J274" s="4" t="s">
        <v>66</v>
      </c>
      <c r="K274" s="4" t="s">
        <v>1501</v>
      </c>
      <c r="L274" s="4" t="s">
        <v>286</v>
      </c>
      <c r="M274" s="4" t="s">
        <v>1502</v>
      </c>
      <c r="N274" s="4" t="s">
        <v>1503</v>
      </c>
      <c r="O274" s="4" t="n">
        <v>90</v>
      </c>
      <c r="P274" s="4" t="n">
        <v>19</v>
      </c>
      <c r="Q274" s="4" t="s">
        <v>286</v>
      </c>
    </row>
    <row r="275" customFormat="false" ht="39.75" hidden="false" customHeight="true" outlineLevel="0" collapsed="false">
      <c r="A275" s="4" t="s">
        <v>276</v>
      </c>
      <c r="B275" s="4" t="n">
        <v>40</v>
      </c>
      <c r="C275" s="4" t="s">
        <v>17</v>
      </c>
      <c r="D275" s="4" t="s">
        <v>17</v>
      </c>
      <c r="E275" s="4" t="s">
        <v>1504</v>
      </c>
      <c r="F275" s="4" t="n">
        <v>13</v>
      </c>
      <c r="G275" s="4" t="n">
        <v>2025</v>
      </c>
      <c r="H275" s="4" t="s">
        <v>685</v>
      </c>
      <c r="I275" s="4" t="s">
        <v>278</v>
      </c>
      <c r="J275" s="4" t="s">
        <v>66</v>
      </c>
      <c r="K275" s="4" t="s">
        <v>1505</v>
      </c>
      <c r="L275" s="4" t="s">
        <v>25</v>
      </c>
      <c r="M275" s="4" t="s">
        <v>1506</v>
      </c>
      <c r="N275" s="4" t="s">
        <v>1507</v>
      </c>
      <c r="O275" s="4" t="n">
        <v>3000</v>
      </c>
      <c r="P275" s="4" t="n">
        <v>637</v>
      </c>
      <c r="Q275" s="4" t="s">
        <v>25</v>
      </c>
    </row>
    <row r="276" customFormat="false" ht="39.75" hidden="false" customHeight="true" outlineLevel="0" collapsed="false">
      <c r="A276" s="9" t="s">
        <v>16</v>
      </c>
      <c r="B276" s="22" t="n">
        <v>1</v>
      </c>
      <c r="C276" s="22" t="s">
        <v>446</v>
      </c>
      <c r="D276" s="22" t="s">
        <v>307</v>
      </c>
      <c r="E276" s="22" t="s">
        <v>1508</v>
      </c>
      <c r="F276" s="22" t="n">
        <v>32</v>
      </c>
      <c r="G276" s="22" t="n">
        <v>2025</v>
      </c>
      <c r="H276" s="22" t="s">
        <v>685</v>
      </c>
      <c r="I276" s="22" t="s">
        <v>19</v>
      </c>
      <c r="J276" s="22" t="s">
        <v>66</v>
      </c>
      <c r="K276" s="22" t="s">
        <v>1509</v>
      </c>
      <c r="L276" s="22" t="s">
        <v>110</v>
      </c>
      <c r="M276" s="22" t="s">
        <v>1510</v>
      </c>
      <c r="N276" s="32" t="s">
        <v>1511</v>
      </c>
      <c r="O276" s="37" t="n">
        <v>210</v>
      </c>
      <c r="P276" s="37" t="n">
        <v>210</v>
      </c>
      <c r="Q276" s="22" t="s">
        <v>110</v>
      </c>
    </row>
    <row r="277" customFormat="false" ht="39.75" hidden="false" customHeight="true" outlineLevel="0" collapsed="false">
      <c r="A277" s="9" t="s">
        <v>64</v>
      </c>
      <c r="B277" s="22" t="n">
        <v>6</v>
      </c>
      <c r="C277" s="22" t="s">
        <v>480</v>
      </c>
      <c r="D277" s="22" t="s">
        <v>28</v>
      </c>
      <c r="E277" s="22" t="s">
        <v>1512</v>
      </c>
      <c r="F277" s="22" t="n">
        <v>12</v>
      </c>
      <c r="G277" s="22" t="n">
        <v>2026</v>
      </c>
      <c r="H277" s="22" t="s">
        <v>1513</v>
      </c>
      <c r="I277" s="22" t="s">
        <v>19</v>
      </c>
      <c r="J277" s="22" t="s">
        <v>535</v>
      </c>
      <c r="K277" s="22" t="s">
        <v>1514</v>
      </c>
      <c r="L277" s="22" t="s">
        <v>1313</v>
      </c>
      <c r="M277" s="22" t="s">
        <v>1515</v>
      </c>
      <c r="N277" s="32" t="s">
        <v>1516</v>
      </c>
      <c r="O277" s="37" t="n">
        <v>14.1</v>
      </c>
      <c r="P277" s="37" t="n">
        <v>14.1</v>
      </c>
      <c r="Q277" s="22" t="s">
        <v>25</v>
      </c>
    </row>
    <row r="278" customFormat="false" ht="39.75" hidden="false" customHeight="true" outlineLevel="0" collapsed="false">
      <c r="A278" s="9" t="s">
        <v>64</v>
      </c>
      <c r="B278" s="22" t="n">
        <v>6</v>
      </c>
      <c r="C278" s="22" t="s">
        <v>480</v>
      </c>
      <c r="D278" s="22" t="s">
        <v>28</v>
      </c>
      <c r="E278" s="22" t="s">
        <v>1517</v>
      </c>
      <c r="F278" s="22" t="n">
        <v>13</v>
      </c>
      <c r="G278" s="22" t="n">
        <v>2026</v>
      </c>
      <c r="H278" s="22" t="s">
        <v>1425</v>
      </c>
      <c r="I278" s="22" t="s">
        <v>19</v>
      </c>
      <c r="J278" s="22" t="s">
        <v>535</v>
      </c>
      <c r="K278" s="22" t="s">
        <v>1518</v>
      </c>
      <c r="L278" s="22" t="s">
        <v>44</v>
      </c>
      <c r="M278" s="22" t="s">
        <v>1519</v>
      </c>
      <c r="N278" s="32" t="s">
        <v>1520</v>
      </c>
      <c r="O278" s="37" t="n">
        <v>4.16</v>
      </c>
      <c r="P278" s="37" t="n">
        <v>4.16</v>
      </c>
      <c r="Q278" s="22" t="s">
        <v>44</v>
      </c>
    </row>
    <row r="279" customFormat="false" ht="39.75" hidden="false" customHeight="true" outlineLevel="0" collapsed="false">
      <c r="A279" s="9" t="s">
        <v>64</v>
      </c>
      <c r="B279" s="22" t="n">
        <v>6</v>
      </c>
      <c r="C279" s="22" t="s">
        <v>480</v>
      </c>
      <c r="D279" s="22" t="s">
        <v>28</v>
      </c>
      <c r="E279" s="22" t="s">
        <v>1521</v>
      </c>
      <c r="F279" s="22" t="n">
        <v>14</v>
      </c>
      <c r="G279" s="22" t="n">
        <v>2026</v>
      </c>
      <c r="H279" s="22" t="s">
        <v>1478</v>
      </c>
      <c r="I279" s="22" t="s">
        <v>19</v>
      </c>
      <c r="J279" s="22" t="s">
        <v>535</v>
      </c>
      <c r="K279" s="22" t="s">
        <v>1522</v>
      </c>
      <c r="L279" s="22" t="s">
        <v>119</v>
      </c>
      <c r="M279" s="22" t="s">
        <v>1523</v>
      </c>
      <c r="N279" s="32" t="s">
        <v>1524</v>
      </c>
      <c r="O279" s="37" t="n">
        <v>13</v>
      </c>
      <c r="P279" s="37" t="n">
        <v>13</v>
      </c>
      <c r="Q279" s="22" t="s">
        <v>119</v>
      </c>
    </row>
    <row r="280" customFormat="false" ht="39.75" hidden="false" customHeight="true" outlineLevel="0" collapsed="false">
      <c r="A280" s="4" t="s">
        <v>16</v>
      </c>
      <c r="B280" s="8" t="n">
        <v>1</v>
      </c>
      <c r="C280" s="8" t="s">
        <v>446</v>
      </c>
      <c r="D280" s="8" t="s">
        <v>307</v>
      </c>
      <c r="E280" s="8" t="s">
        <v>1525</v>
      </c>
      <c r="F280" s="8" t="n">
        <v>33</v>
      </c>
      <c r="G280" s="8" t="n">
        <v>2025</v>
      </c>
      <c r="H280" s="8" t="s">
        <v>685</v>
      </c>
      <c r="I280" s="8" t="s">
        <v>19</v>
      </c>
      <c r="J280" s="8" t="s">
        <v>1526</v>
      </c>
      <c r="K280" s="8" t="s">
        <v>1527</v>
      </c>
      <c r="L280" s="8" t="s">
        <v>812</v>
      </c>
      <c r="M280" s="8" t="s">
        <v>1528</v>
      </c>
      <c r="N280" s="8" t="s">
        <v>1529</v>
      </c>
      <c r="O280" s="8" t="n">
        <v>70</v>
      </c>
      <c r="P280" s="8" t="n">
        <v>70</v>
      </c>
      <c r="Q280" s="8" t="s">
        <v>25</v>
      </c>
    </row>
    <row r="281" customFormat="false" ht="39.75" hidden="false" customHeight="true" outlineLevel="0" collapsed="false">
      <c r="A281" s="4" t="s">
        <v>16</v>
      </c>
      <c r="B281" s="8" t="n">
        <v>1</v>
      </c>
      <c r="C281" s="8" t="s">
        <v>446</v>
      </c>
      <c r="D281" s="8" t="s">
        <v>307</v>
      </c>
      <c r="E281" s="8" t="s">
        <v>1530</v>
      </c>
      <c r="F281" s="8" t="n">
        <v>34</v>
      </c>
      <c r="G281" s="8" t="n">
        <v>2025</v>
      </c>
      <c r="H281" s="8" t="s">
        <v>685</v>
      </c>
      <c r="I281" s="8" t="s">
        <v>19</v>
      </c>
      <c r="J281" s="8" t="s">
        <v>1526</v>
      </c>
      <c r="K281" s="8" t="s">
        <v>1531</v>
      </c>
      <c r="L281" s="8" t="s">
        <v>1071</v>
      </c>
      <c r="M281" s="8" t="s">
        <v>1532</v>
      </c>
      <c r="N281" s="8" t="s">
        <v>1533</v>
      </c>
      <c r="O281" s="8" t="n">
        <v>105</v>
      </c>
      <c r="P281" s="8" t="n">
        <v>105</v>
      </c>
      <c r="Q281" s="8" t="s">
        <v>119</v>
      </c>
    </row>
    <row r="282" customFormat="false" ht="39.75" hidden="false" customHeight="true" outlineLevel="0" collapsed="false">
      <c r="A282" s="4" t="s">
        <v>16</v>
      </c>
      <c r="B282" s="8" t="n">
        <v>1</v>
      </c>
      <c r="C282" s="8" t="s">
        <v>446</v>
      </c>
      <c r="D282" s="8" t="s">
        <v>307</v>
      </c>
      <c r="E282" s="8" t="s">
        <v>1534</v>
      </c>
      <c r="F282" s="8" t="n">
        <v>35</v>
      </c>
      <c r="G282" s="8" t="n">
        <v>2025</v>
      </c>
      <c r="H282" s="8" t="s">
        <v>685</v>
      </c>
      <c r="I282" s="8" t="s">
        <v>19</v>
      </c>
      <c r="J282" s="8" t="s">
        <v>1526</v>
      </c>
      <c r="K282" s="8" t="s">
        <v>1535</v>
      </c>
      <c r="L282" s="8" t="s">
        <v>1536</v>
      </c>
      <c r="M282" s="8" t="s">
        <v>1537</v>
      </c>
      <c r="N282" s="8" t="s">
        <v>1533</v>
      </c>
      <c r="O282" s="8" t="n">
        <v>79</v>
      </c>
      <c r="P282" s="8" t="n">
        <v>79</v>
      </c>
      <c r="Q282" s="8" t="s">
        <v>110</v>
      </c>
    </row>
    <row r="283" customFormat="false" ht="39.75" hidden="false" customHeight="true" outlineLevel="0" collapsed="false">
      <c r="A283" s="4" t="s">
        <v>16</v>
      </c>
      <c r="B283" s="8" t="n">
        <v>1</v>
      </c>
      <c r="C283" s="8" t="s">
        <v>446</v>
      </c>
      <c r="D283" s="8" t="s">
        <v>307</v>
      </c>
      <c r="E283" s="8" t="s">
        <v>1538</v>
      </c>
      <c r="F283" s="8" t="n">
        <v>36</v>
      </c>
      <c r="G283" s="8" t="n">
        <v>2025</v>
      </c>
      <c r="H283" s="8" t="s">
        <v>685</v>
      </c>
      <c r="I283" s="8" t="s">
        <v>19</v>
      </c>
      <c r="J283" s="8" t="s">
        <v>1526</v>
      </c>
      <c r="K283" s="8" t="s">
        <v>1539</v>
      </c>
      <c r="L283" s="8" t="s">
        <v>1536</v>
      </c>
      <c r="M283" s="8" t="s">
        <v>1540</v>
      </c>
      <c r="N283" s="8" t="s">
        <v>1533</v>
      </c>
      <c r="O283" s="8" t="n">
        <v>10.3</v>
      </c>
      <c r="P283" s="8" t="n">
        <v>10.3</v>
      </c>
      <c r="Q283" s="8" t="s">
        <v>110</v>
      </c>
    </row>
    <row r="284" customFormat="false" ht="39.75" hidden="false" customHeight="true" outlineLevel="0" collapsed="false">
      <c r="A284" s="4" t="s">
        <v>16</v>
      </c>
      <c r="B284" s="8" t="n">
        <v>1</v>
      </c>
      <c r="C284" s="8" t="s">
        <v>446</v>
      </c>
      <c r="D284" s="8" t="s">
        <v>307</v>
      </c>
      <c r="E284" s="8" t="s">
        <v>1541</v>
      </c>
      <c r="F284" s="8" t="n">
        <v>37</v>
      </c>
      <c r="G284" s="8" t="n">
        <v>2025</v>
      </c>
      <c r="H284" s="8" t="s">
        <v>685</v>
      </c>
      <c r="I284" s="8" t="s">
        <v>19</v>
      </c>
      <c r="J284" s="8" t="s">
        <v>1526</v>
      </c>
      <c r="K284" s="8" t="s">
        <v>1542</v>
      </c>
      <c r="L284" s="8" t="s">
        <v>110</v>
      </c>
      <c r="M284" s="8" t="s">
        <v>1543</v>
      </c>
      <c r="N284" s="8" t="s">
        <v>1533</v>
      </c>
      <c r="O284" s="8" t="n">
        <v>52.1</v>
      </c>
      <c r="P284" s="8" t="n">
        <v>52.1</v>
      </c>
      <c r="Q284" s="8" t="s">
        <v>110</v>
      </c>
    </row>
    <row r="285" customFormat="false" ht="39.75" hidden="false" customHeight="true" outlineLevel="0" collapsed="false">
      <c r="A285" s="4" t="s">
        <v>16</v>
      </c>
      <c r="B285" s="8" t="n">
        <v>1</v>
      </c>
      <c r="C285" s="8" t="s">
        <v>446</v>
      </c>
      <c r="D285" s="8" t="s">
        <v>307</v>
      </c>
      <c r="E285" s="8" t="s">
        <v>1544</v>
      </c>
      <c r="F285" s="8" t="n">
        <v>38</v>
      </c>
      <c r="G285" s="8" t="n">
        <v>2025</v>
      </c>
      <c r="H285" s="8" t="s">
        <v>685</v>
      </c>
      <c r="I285" s="8" t="s">
        <v>19</v>
      </c>
      <c r="J285" s="8" t="s">
        <v>66</v>
      </c>
      <c r="K285" s="8" t="s">
        <v>1545</v>
      </c>
      <c r="L285" s="8" t="s">
        <v>1546</v>
      </c>
      <c r="M285" s="8" t="s">
        <v>1547</v>
      </c>
      <c r="N285" s="8" t="s">
        <v>1548</v>
      </c>
      <c r="O285" s="8" t="n">
        <v>275</v>
      </c>
      <c r="P285" s="8" t="n">
        <v>275</v>
      </c>
      <c r="Q285" s="8" t="s">
        <v>25</v>
      </c>
    </row>
    <row r="286" customFormat="false" ht="39.75" hidden="false" customHeight="true" outlineLevel="0" collapsed="false">
      <c r="A286" s="4" t="s">
        <v>16</v>
      </c>
      <c r="B286" s="8" t="n">
        <v>1</v>
      </c>
      <c r="C286" s="8" t="s">
        <v>446</v>
      </c>
      <c r="D286" s="8" t="s">
        <v>307</v>
      </c>
      <c r="E286" s="8" t="s">
        <v>1549</v>
      </c>
      <c r="F286" s="8" t="n">
        <v>39</v>
      </c>
      <c r="G286" s="8" t="n">
        <v>2025</v>
      </c>
      <c r="H286" s="8" t="s">
        <v>685</v>
      </c>
      <c r="I286" s="8" t="s">
        <v>19</v>
      </c>
      <c r="J286" s="8" t="s">
        <v>1550</v>
      </c>
      <c r="K286" s="8" t="s">
        <v>1551</v>
      </c>
      <c r="L286" s="8" t="s">
        <v>35</v>
      </c>
      <c r="M286" s="8" t="s">
        <v>1552</v>
      </c>
      <c r="N286" s="8" t="s">
        <v>1553</v>
      </c>
      <c r="O286" s="8" t="n">
        <v>50</v>
      </c>
      <c r="P286" s="8" t="n">
        <v>50</v>
      </c>
      <c r="Q286" s="8" t="s">
        <v>110</v>
      </c>
    </row>
    <row r="287" customFormat="false" ht="39.75" hidden="false" customHeight="true" outlineLevel="0" collapsed="false">
      <c r="A287" s="4" t="s">
        <v>16</v>
      </c>
      <c r="B287" s="8" t="n">
        <v>1</v>
      </c>
      <c r="C287" s="8" t="s">
        <v>389</v>
      </c>
      <c r="D287" s="8" t="s">
        <v>96</v>
      </c>
      <c r="E287" s="8" t="s">
        <v>1554</v>
      </c>
      <c r="F287" s="8" t="n">
        <v>40</v>
      </c>
      <c r="G287" s="8" t="n">
        <v>2025</v>
      </c>
      <c r="H287" s="8" t="s">
        <v>685</v>
      </c>
      <c r="I287" s="8" t="s">
        <v>19</v>
      </c>
      <c r="J287" s="8" t="s">
        <v>1550</v>
      </c>
      <c r="K287" s="8" t="s">
        <v>1555</v>
      </c>
      <c r="L287" s="8" t="s">
        <v>1149</v>
      </c>
      <c r="M287" s="8" t="s">
        <v>1556</v>
      </c>
      <c r="N287" s="8" t="s">
        <v>1557</v>
      </c>
      <c r="O287" s="8" t="n">
        <v>150</v>
      </c>
      <c r="P287" s="8" t="n">
        <v>150</v>
      </c>
      <c r="Q287" s="8" t="s">
        <v>38</v>
      </c>
    </row>
    <row r="288" customFormat="false" ht="39.75" hidden="false" customHeight="true" outlineLevel="0" collapsed="false">
      <c r="A288" s="4" t="s">
        <v>16</v>
      </c>
      <c r="B288" s="8" t="n">
        <v>1</v>
      </c>
      <c r="C288" s="8" t="s">
        <v>446</v>
      </c>
      <c r="D288" s="8" t="s">
        <v>307</v>
      </c>
      <c r="E288" s="8" t="s">
        <v>1558</v>
      </c>
      <c r="F288" s="8" t="n">
        <v>41</v>
      </c>
      <c r="G288" s="8" t="n">
        <v>2026</v>
      </c>
      <c r="H288" s="8" t="s">
        <v>1513</v>
      </c>
      <c r="I288" s="8" t="s">
        <v>19</v>
      </c>
      <c r="J288" s="8" t="s">
        <v>66</v>
      </c>
      <c r="K288" s="8" t="s">
        <v>1559</v>
      </c>
      <c r="L288" s="8" t="s">
        <v>812</v>
      </c>
      <c r="M288" s="8" t="s">
        <v>1560</v>
      </c>
      <c r="N288" s="8" t="s">
        <v>1561</v>
      </c>
      <c r="O288" s="8" t="n">
        <v>50</v>
      </c>
      <c r="P288" s="8" t="n">
        <v>50</v>
      </c>
      <c r="Q288" s="8" t="s">
        <v>25</v>
      </c>
      <c r="R288" s="39"/>
      <c r="S288" s="39"/>
      <c r="T288" s="39"/>
    </row>
    <row r="289" customFormat="false" ht="39.75" hidden="false" customHeight="true" outlineLevel="0" collapsed="false">
      <c r="A289" s="4" t="s">
        <v>16</v>
      </c>
      <c r="B289" s="8" t="n">
        <v>1</v>
      </c>
      <c r="C289" s="8" t="s">
        <v>446</v>
      </c>
      <c r="D289" s="8" t="s">
        <v>307</v>
      </c>
      <c r="E289" s="8" t="s">
        <v>1562</v>
      </c>
      <c r="F289" s="8" t="n">
        <v>42</v>
      </c>
      <c r="G289" s="8" t="n">
        <v>2026</v>
      </c>
      <c r="H289" s="8" t="s">
        <v>675</v>
      </c>
      <c r="I289" s="8" t="s">
        <v>19</v>
      </c>
      <c r="J289" s="8" t="s">
        <v>66</v>
      </c>
      <c r="K289" s="8" t="s">
        <v>1563</v>
      </c>
      <c r="L289" s="8" t="s">
        <v>812</v>
      </c>
      <c r="M289" s="8" t="s">
        <v>1564</v>
      </c>
      <c r="N289" s="8" t="s">
        <v>1565</v>
      </c>
      <c r="O289" s="8" t="n">
        <v>225</v>
      </c>
      <c r="P289" s="8" t="n">
        <v>225</v>
      </c>
      <c r="Q289" s="8" t="s">
        <v>25</v>
      </c>
      <c r="R289" s="39"/>
      <c r="S289" s="39"/>
      <c r="T289" s="39"/>
    </row>
    <row r="290" customFormat="false" ht="39.75" hidden="false" customHeight="true" outlineLevel="0" collapsed="false">
      <c r="A290" s="4" t="s">
        <v>16</v>
      </c>
      <c r="B290" s="8" t="n">
        <v>1</v>
      </c>
      <c r="C290" s="8" t="s">
        <v>389</v>
      </c>
      <c r="D290" s="8" t="s">
        <v>96</v>
      </c>
      <c r="E290" s="8" t="s">
        <v>1566</v>
      </c>
      <c r="F290" s="8" t="n">
        <v>43</v>
      </c>
      <c r="G290" s="8" t="n">
        <v>2026</v>
      </c>
      <c r="H290" s="8" t="s">
        <v>666</v>
      </c>
      <c r="I290" s="8" t="s">
        <v>19</v>
      </c>
      <c r="J290" s="8" t="s">
        <v>66</v>
      </c>
      <c r="K290" s="8" t="s">
        <v>1567</v>
      </c>
      <c r="L290" s="8" t="s">
        <v>1568</v>
      </c>
      <c r="M290" s="8" t="s">
        <v>1569</v>
      </c>
      <c r="N290" s="8" t="s">
        <v>1570</v>
      </c>
      <c r="O290" s="8" t="n">
        <v>250</v>
      </c>
      <c r="P290" s="8" t="n">
        <v>250</v>
      </c>
      <c r="Q290" s="8" t="s">
        <v>119</v>
      </c>
      <c r="R290" s="39"/>
      <c r="S290" s="39"/>
      <c r="T290" s="39"/>
    </row>
    <row r="291" customFormat="false" ht="39.75" hidden="false" customHeight="true" outlineLevel="0" collapsed="false">
      <c r="A291" s="4" t="s">
        <v>16</v>
      </c>
      <c r="B291" s="8" t="n">
        <v>1</v>
      </c>
      <c r="C291" s="8" t="s">
        <v>389</v>
      </c>
      <c r="D291" s="8" t="s">
        <v>96</v>
      </c>
      <c r="E291" s="8" t="s">
        <v>1571</v>
      </c>
      <c r="F291" s="8" t="n">
        <v>44</v>
      </c>
      <c r="G291" s="8" t="n">
        <v>2026</v>
      </c>
      <c r="H291" s="8" t="s">
        <v>666</v>
      </c>
      <c r="I291" s="8" t="s">
        <v>19</v>
      </c>
      <c r="J291" s="8" t="s">
        <v>66</v>
      </c>
      <c r="K291" s="8" t="s">
        <v>1572</v>
      </c>
      <c r="L291" s="8" t="s">
        <v>386</v>
      </c>
      <c r="M291" s="8" t="s">
        <v>1573</v>
      </c>
      <c r="N291" s="8" t="s">
        <v>1574</v>
      </c>
      <c r="O291" s="8" t="n">
        <v>140</v>
      </c>
      <c r="P291" s="8" t="n">
        <v>140</v>
      </c>
      <c r="Q291" s="8" t="s">
        <v>286</v>
      </c>
      <c r="R291" s="39"/>
      <c r="S291" s="39"/>
      <c r="T291" s="39"/>
    </row>
    <row r="292" customFormat="false" ht="39.75" hidden="false" customHeight="true" outlineLevel="0" collapsed="false">
      <c r="A292" s="4" t="s">
        <v>16</v>
      </c>
      <c r="B292" s="8" t="n">
        <v>1</v>
      </c>
      <c r="C292" s="8" t="s">
        <v>389</v>
      </c>
      <c r="D292" s="8" t="s">
        <v>96</v>
      </c>
      <c r="E292" s="8" t="s">
        <v>1575</v>
      </c>
      <c r="F292" s="8" t="n">
        <v>45</v>
      </c>
      <c r="G292" s="8" t="n">
        <v>2026</v>
      </c>
      <c r="H292" s="8" t="s">
        <v>666</v>
      </c>
      <c r="I292" s="8" t="s">
        <v>19</v>
      </c>
      <c r="J292" s="8" t="s">
        <v>66</v>
      </c>
      <c r="K292" s="8" t="s">
        <v>641</v>
      </c>
      <c r="L292" s="8" t="s">
        <v>386</v>
      </c>
      <c r="M292" s="8" t="s">
        <v>1576</v>
      </c>
      <c r="N292" s="8" t="s">
        <v>1574</v>
      </c>
      <c r="O292" s="8" t="n">
        <v>300</v>
      </c>
      <c r="P292" s="8" t="n">
        <v>300</v>
      </c>
      <c r="Q292" s="8" t="s">
        <v>286</v>
      </c>
      <c r="R292" s="39"/>
      <c r="S292" s="39"/>
      <c r="T292" s="39"/>
    </row>
    <row r="293" customFormat="false" ht="39.75" hidden="false" customHeight="true" outlineLevel="0" collapsed="false">
      <c r="A293" s="4" t="s">
        <v>16</v>
      </c>
      <c r="B293" s="8" t="n">
        <v>1</v>
      </c>
      <c r="C293" s="8" t="s">
        <v>389</v>
      </c>
      <c r="D293" s="8" t="s">
        <v>96</v>
      </c>
      <c r="E293" s="8" t="s">
        <v>1577</v>
      </c>
      <c r="F293" s="8" t="n">
        <v>46</v>
      </c>
      <c r="G293" s="8" t="n">
        <v>2026</v>
      </c>
      <c r="H293" s="8" t="s">
        <v>666</v>
      </c>
      <c r="I293" s="8" t="s">
        <v>19</v>
      </c>
      <c r="J293" s="8" t="s">
        <v>66</v>
      </c>
      <c r="K293" s="8" t="s">
        <v>1578</v>
      </c>
      <c r="L293" s="8" t="s">
        <v>492</v>
      </c>
      <c r="M293" s="8" t="s">
        <v>1579</v>
      </c>
      <c r="N293" s="8" t="s">
        <v>1574</v>
      </c>
      <c r="O293" s="8" t="n">
        <v>245</v>
      </c>
      <c r="P293" s="8" t="n">
        <v>245</v>
      </c>
      <c r="Q293" s="8" t="s">
        <v>119</v>
      </c>
      <c r="R293" s="39"/>
      <c r="S293" s="39"/>
      <c r="T293" s="39"/>
    </row>
    <row r="294" customFormat="false" ht="39.75" hidden="false" customHeight="true" outlineLevel="0" collapsed="false">
      <c r="A294" s="4" t="s">
        <v>16</v>
      </c>
      <c r="B294" s="8" t="n">
        <v>1</v>
      </c>
      <c r="C294" s="8" t="s">
        <v>389</v>
      </c>
      <c r="D294" s="8" t="s">
        <v>96</v>
      </c>
      <c r="E294" s="8" t="s">
        <v>1580</v>
      </c>
      <c r="F294" s="8" t="n">
        <v>47</v>
      </c>
      <c r="G294" s="8" t="n">
        <v>2026</v>
      </c>
      <c r="H294" s="8" t="s">
        <v>666</v>
      </c>
      <c r="I294" s="8" t="s">
        <v>19</v>
      </c>
      <c r="J294" s="8" t="s">
        <v>66</v>
      </c>
      <c r="K294" s="8" t="s">
        <v>700</v>
      </c>
      <c r="L294" s="8" t="s">
        <v>537</v>
      </c>
      <c r="M294" s="8" t="s">
        <v>1581</v>
      </c>
      <c r="N294" s="8" t="s">
        <v>1574</v>
      </c>
      <c r="O294" s="8" t="n">
        <v>75</v>
      </c>
      <c r="P294" s="8" t="n">
        <v>75</v>
      </c>
      <c r="Q294" s="8" t="s">
        <v>44</v>
      </c>
      <c r="R294" s="39"/>
      <c r="S294" s="39"/>
      <c r="T294" s="39"/>
    </row>
    <row r="295" customFormat="false" ht="39.75" hidden="false" customHeight="true" outlineLevel="0" collapsed="false">
      <c r="A295" s="4" t="s">
        <v>16</v>
      </c>
      <c r="B295" s="8" t="n">
        <v>1</v>
      </c>
      <c r="C295" s="8" t="s">
        <v>389</v>
      </c>
      <c r="D295" s="8" t="s">
        <v>96</v>
      </c>
      <c r="E295" s="8" t="s">
        <v>1582</v>
      </c>
      <c r="F295" s="8" t="n">
        <v>48</v>
      </c>
      <c r="G295" s="8" t="n">
        <v>2026</v>
      </c>
      <c r="H295" s="8" t="s">
        <v>666</v>
      </c>
      <c r="I295" s="8" t="s">
        <v>19</v>
      </c>
      <c r="J295" s="8" t="s">
        <v>66</v>
      </c>
      <c r="K295" s="8" t="s">
        <v>1551</v>
      </c>
      <c r="L295" s="8" t="s">
        <v>1153</v>
      </c>
      <c r="M295" s="8" t="s">
        <v>1583</v>
      </c>
      <c r="N295" s="8" t="s">
        <v>1574</v>
      </c>
      <c r="O295" s="8" t="n">
        <v>50</v>
      </c>
      <c r="P295" s="8" t="n">
        <v>50</v>
      </c>
      <c r="Q295" s="8" t="s">
        <v>110</v>
      </c>
      <c r="R295" s="39"/>
      <c r="S295" s="39"/>
      <c r="T295" s="39"/>
    </row>
    <row r="296" customFormat="false" ht="39.75" hidden="false" customHeight="true" outlineLevel="0" collapsed="false">
      <c r="A296" s="4" t="s">
        <v>16</v>
      </c>
      <c r="B296" s="8" t="n">
        <v>1</v>
      </c>
      <c r="C296" s="8" t="s">
        <v>389</v>
      </c>
      <c r="D296" s="8" t="s">
        <v>96</v>
      </c>
      <c r="E296" s="8" t="s">
        <v>1584</v>
      </c>
      <c r="F296" s="8" t="n">
        <v>49</v>
      </c>
      <c r="G296" s="8" t="n">
        <v>2026</v>
      </c>
      <c r="H296" s="8" t="s">
        <v>666</v>
      </c>
      <c r="I296" s="8" t="s">
        <v>19</v>
      </c>
      <c r="J296" s="8" t="s">
        <v>66</v>
      </c>
      <c r="K296" s="8" t="s">
        <v>1585</v>
      </c>
      <c r="L296" s="8" t="s">
        <v>119</v>
      </c>
      <c r="M296" s="8" t="s">
        <v>1586</v>
      </c>
      <c r="N296" s="8" t="s">
        <v>1574</v>
      </c>
      <c r="O296" s="8" t="n">
        <v>34</v>
      </c>
      <c r="P296" s="8" t="n">
        <v>34</v>
      </c>
      <c r="Q296" s="8" t="s">
        <v>119</v>
      </c>
      <c r="R296" s="39"/>
      <c r="S296" s="39"/>
      <c r="T296" s="39"/>
    </row>
    <row r="297" customFormat="false" ht="39.75" hidden="false" customHeight="true" outlineLevel="0" collapsed="false">
      <c r="A297" s="4" t="s">
        <v>16</v>
      </c>
      <c r="B297" s="8" t="n">
        <v>1</v>
      </c>
      <c r="C297" s="8" t="s">
        <v>389</v>
      </c>
      <c r="D297" s="8" t="s">
        <v>96</v>
      </c>
      <c r="E297" s="8" t="s">
        <v>1587</v>
      </c>
      <c r="F297" s="8" t="n">
        <v>50</v>
      </c>
      <c r="G297" s="8" t="n">
        <v>2026</v>
      </c>
      <c r="H297" s="8" t="s">
        <v>666</v>
      </c>
      <c r="I297" s="8" t="s">
        <v>19</v>
      </c>
      <c r="J297" s="8" t="s">
        <v>66</v>
      </c>
      <c r="K297" s="8" t="s">
        <v>1588</v>
      </c>
      <c r="L297" s="8" t="s">
        <v>1153</v>
      </c>
      <c r="M297" s="8" t="s">
        <v>1589</v>
      </c>
      <c r="N297" s="8" t="s">
        <v>1574</v>
      </c>
      <c r="O297" s="8" t="n">
        <v>30</v>
      </c>
      <c r="P297" s="8" t="n">
        <v>30</v>
      </c>
      <c r="Q297" s="8" t="s">
        <v>110</v>
      </c>
      <c r="R297" s="39"/>
      <c r="S297" s="39"/>
      <c r="T297" s="39"/>
    </row>
    <row r="298" customFormat="false" ht="39.75" hidden="false" customHeight="true" outlineLevel="0" collapsed="false">
      <c r="A298" s="4" t="s">
        <v>64</v>
      </c>
      <c r="B298" s="8" t="n">
        <v>6</v>
      </c>
      <c r="C298" s="8" t="s">
        <v>480</v>
      </c>
      <c r="D298" s="8" t="s">
        <v>28</v>
      </c>
      <c r="E298" s="8" t="s">
        <v>1590</v>
      </c>
      <c r="F298" s="8" t="n">
        <v>15</v>
      </c>
      <c r="G298" s="8" t="n">
        <v>2026</v>
      </c>
      <c r="H298" s="8" t="s">
        <v>754</v>
      </c>
      <c r="I298" s="8" t="s">
        <v>19</v>
      </c>
      <c r="J298" s="8" t="s">
        <v>535</v>
      </c>
      <c r="K298" s="8" t="s">
        <v>1591</v>
      </c>
      <c r="L298" s="8" t="s">
        <v>25</v>
      </c>
      <c r="M298" s="8" t="s">
        <v>1592</v>
      </c>
      <c r="N298" s="8" t="s">
        <v>1593</v>
      </c>
      <c r="O298" s="8" t="n">
        <v>33.6</v>
      </c>
      <c r="P298" s="8" t="n">
        <v>33.6</v>
      </c>
      <c r="Q298" s="8" t="s">
        <v>25</v>
      </c>
      <c r="R298" s="39"/>
      <c r="S298" s="39"/>
      <c r="T298" s="39"/>
    </row>
    <row r="299" customFormat="false" ht="39.75" hidden="false" customHeight="true" outlineLevel="0" collapsed="false">
      <c r="A299" s="4" t="s">
        <v>138</v>
      </c>
      <c r="B299" s="8" t="n">
        <v>15</v>
      </c>
      <c r="C299" s="8" t="s">
        <v>153</v>
      </c>
      <c r="D299" s="8" t="s">
        <v>90</v>
      </c>
      <c r="E299" s="8" t="s">
        <v>1594</v>
      </c>
      <c r="F299" s="8" t="n">
        <v>6</v>
      </c>
      <c r="G299" s="8" t="n">
        <v>2026</v>
      </c>
      <c r="H299" s="8" t="s">
        <v>1425</v>
      </c>
      <c r="I299" s="8" t="s">
        <v>128</v>
      </c>
      <c r="J299" s="8" t="s">
        <v>79</v>
      </c>
      <c r="K299" s="8" t="s">
        <v>1053</v>
      </c>
      <c r="L299" s="8" t="s">
        <v>25</v>
      </c>
      <c r="M299" s="8" t="s">
        <v>1595</v>
      </c>
      <c r="N299" s="8" t="s">
        <v>1596</v>
      </c>
      <c r="O299" s="8" t="n">
        <v>150000</v>
      </c>
      <c r="P299" s="8" t="n">
        <v>1000</v>
      </c>
      <c r="Q299" s="8" t="s">
        <v>25</v>
      </c>
      <c r="R299" s="39"/>
      <c r="S299" s="39"/>
      <c r="T299" s="39"/>
    </row>
    <row r="300" customFormat="false" ht="39.75" hidden="false" customHeight="true" outlineLevel="0" collapsed="false">
      <c r="A300" s="4" t="s">
        <v>147</v>
      </c>
      <c r="B300" s="8" t="n">
        <v>16</v>
      </c>
      <c r="C300" s="8" t="s">
        <v>17</v>
      </c>
      <c r="D300" s="8" t="s">
        <v>17</v>
      </c>
      <c r="E300" s="8" t="s">
        <v>1597</v>
      </c>
      <c r="F300" s="8" t="n">
        <v>20</v>
      </c>
      <c r="G300" s="8" t="n">
        <v>2026</v>
      </c>
      <c r="H300" s="8" t="s">
        <v>1478</v>
      </c>
      <c r="I300" s="8" t="s">
        <v>128</v>
      </c>
      <c r="J300" s="8" t="s">
        <v>66</v>
      </c>
      <c r="K300" s="8" t="s">
        <v>1598</v>
      </c>
      <c r="L300" s="8" t="s">
        <v>659</v>
      </c>
      <c r="M300" s="8" t="s">
        <v>1599</v>
      </c>
      <c r="N300" s="24" t="s">
        <v>1600</v>
      </c>
      <c r="O300" s="8" t="n">
        <v>160000</v>
      </c>
      <c r="P300" s="8" t="n">
        <v>1026</v>
      </c>
      <c r="Q300" s="8" t="s">
        <v>25</v>
      </c>
      <c r="R300" s="39"/>
      <c r="S300" s="39"/>
      <c r="T300" s="39"/>
    </row>
    <row r="301" customFormat="false" ht="39.75" hidden="false" customHeight="true" outlineLevel="0" collapsed="false">
      <c r="A301" s="4" t="s">
        <v>515</v>
      </c>
      <c r="B301" s="8" t="n">
        <v>61</v>
      </c>
      <c r="C301" s="8" t="s">
        <v>17</v>
      </c>
      <c r="D301" s="8" t="s">
        <v>17</v>
      </c>
      <c r="E301" s="8" t="s">
        <v>1601</v>
      </c>
      <c r="F301" s="8" t="n">
        <v>2</v>
      </c>
      <c r="G301" s="8" t="n">
        <v>2026</v>
      </c>
      <c r="H301" s="8" t="s">
        <v>543</v>
      </c>
      <c r="I301" s="8" t="s">
        <v>163</v>
      </c>
      <c r="J301" s="8" t="s">
        <v>79</v>
      </c>
      <c r="K301" s="8" t="s">
        <v>1602</v>
      </c>
      <c r="L301" s="8" t="s">
        <v>44</v>
      </c>
      <c r="M301" s="8" t="s">
        <v>1603</v>
      </c>
      <c r="N301" s="8" t="s">
        <v>1604</v>
      </c>
      <c r="O301" s="8" t="n">
        <v>370000</v>
      </c>
      <c r="P301" s="8" t="n">
        <v>266</v>
      </c>
      <c r="Q301" s="8" t="s">
        <v>44</v>
      </c>
      <c r="R301" s="39"/>
      <c r="S301" s="39"/>
      <c r="T301" s="39"/>
    </row>
    <row r="302" customFormat="false" ht="39.75" hidden="false" customHeight="true" outlineLevel="0" collapsed="false">
      <c r="A302" s="4" t="s">
        <v>515</v>
      </c>
      <c r="B302" s="8" t="n">
        <v>61</v>
      </c>
      <c r="C302" s="8" t="s">
        <v>17</v>
      </c>
      <c r="D302" s="8" t="s">
        <v>17</v>
      </c>
      <c r="E302" s="8" t="s">
        <v>1605</v>
      </c>
      <c r="F302" s="8" t="n">
        <v>3</v>
      </c>
      <c r="G302" s="8" t="n">
        <v>2026</v>
      </c>
      <c r="H302" s="8" t="s">
        <v>543</v>
      </c>
      <c r="I302" s="8" t="s">
        <v>163</v>
      </c>
      <c r="J302" s="8" t="s">
        <v>1092</v>
      </c>
      <c r="K302" s="8" t="s">
        <v>1606</v>
      </c>
      <c r="L302" s="8" t="s">
        <v>629</v>
      </c>
      <c r="M302" s="8" t="s">
        <v>1607</v>
      </c>
      <c r="N302" s="8" t="s">
        <v>1608</v>
      </c>
      <c r="O302" s="8" t="n">
        <v>50000</v>
      </c>
      <c r="P302" s="8" t="n">
        <v>36</v>
      </c>
      <c r="Q302" s="8" t="s">
        <v>38</v>
      </c>
      <c r="R302" s="39"/>
      <c r="S302" s="39"/>
      <c r="T302" s="39"/>
    </row>
    <row r="303" customFormat="false" ht="39.75" hidden="false" customHeight="true" outlineLevel="0" collapsed="false">
      <c r="A303" s="4" t="s">
        <v>515</v>
      </c>
      <c r="B303" s="8" t="n">
        <v>61</v>
      </c>
      <c r="C303" s="8" t="s">
        <v>17</v>
      </c>
      <c r="D303" s="8" t="s">
        <v>17</v>
      </c>
      <c r="E303" s="8" t="s">
        <v>1609</v>
      </c>
      <c r="F303" s="8" t="n">
        <v>4</v>
      </c>
      <c r="G303" s="8" t="n">
        <v>2026</v>
      </c>
      <c r="H303" s="8" t="s">
        <v>543</v>
      </c>
      <c r="I303" s="8" t="s">
        <v>163</v>
      </c>
      <c r="J303" s="8" t="s">
        <v>1092</v>
      </c>
      <c r="K303" s="8" t="s">
        <v>1610</v>
      </c>
      <c r="L303" s="8" t="s">
        <v>286</v>
      </c>
      <c r="M303" s="8" t="s">
        <v>1611</v>
      </c>
      <c r="N303" s="8" t="s">
        <v>1612</v>
      </c>
      <c r="O303" s="8" t="n">
        <v>560000</v>
      </c>
      <c r="P303" s="8" t="n">
        <v>403</v>
      </c>
      <c r="Q303" s="8" t="s">
        <v>286</v>
      </c>
      <c r="R303" s="39"/>
      <c r="S303" s="39"/>
      <c r="T303" s="39"/>
    </row>
    <row r="304" customFormat="false" ht="39.75" hidden="false" customHeight="true" outlineLevel="0" collapsed="false">
      <c r="A304" s="4" t="s">
        <v>515</v>
      </c>
      <c r="B304" s="8" t="n">
        <v>61</v>
      </c>
      <c r="C304" s="8" t="s">
        <v>17</v>
      </c>
      <c r="D304" s="8" t="s">
        <v>17</v>
      </c>
      <c r="E304" s="8" t="s">
        <v>1613</v>
      </c>
      <c r="F304" s="8" t="n">
        <v>5</v>
      </c>
      <c r="G304" s="8" t="n">
        <v>2026</v>
      </c>
      <c r="H304" s="8" t="s">
        <v>543</v>
      </c>
      <c r="I304" s="8" t="s">
        <v>163</v>
      </c>
      <c r="J304" s="8" t="s">
        <v>1092</v>
      </c>
      <c r="K304" s="8" t="s">
        <v>1614</v>
      </c>
      <c r="L304" s="8" t="s">
        <v>35</v>
      </c>
      <c r="M304" s="8" t="s">
        <v>1615</v>
      </c>
      <c r="N304" s="24" t="s">
        <v>1612</v>
      </c>
      <c r="O304" s="8" t="n">
        <v>100000</v>
      </c>
      <c r="P304" s="8" t="n">
        <v>72</v>
      </c>
      <c r="Q304" s="8" t="s">
        <v>110</v>
      </c>
      <c r="R304" s="39"/>
      <c r="S304" s="39"/>
      <c r="T304" s="39"/>
    </row>
    <row r="305" customFormat="false" ht="39.75" hidden="false" customHeight="true" outlineLevel="0" collapsed="false">
      <c r="A305" s="4" t="s">
        <v>534</v>
      </c>
      <c r="B305" s="8" t="n">
        <v>64</v>
      </c>
      <c r="C305" s="8" t="s">
        <v>17</v>
      </c>
      <c r="D305" s="8" t="s">
        <v>17</v>
      </c>
      <c r="E305" s="8" t="s">
        <v>1616</v>
      </c>
      <c r="F305" s="8" t="n">
        <v>1</v>
      </c>
      <c r="G305" s="8" t="n">
        <v>2026</v>
      </c>
      <c r="H305" s="8" t="s">
        <v>1478</v>
      </c>
      <c r="I305" s="8" t="s">
        <v>163</v>
      </c>
      <c r="J305" s="8" t="s">
        <v>535</v>
      </c>
      <c r="K305" s="8" t="s">
        <v>1617</v>
      </c>
      <c r="L305" s="8" t="s">
        <v>119</v>
      </c>
      <c r="M305" s="8" t="s">
        <v>1618</v>
      </c>
      <c r="N305" s="8" t="s">
        <v>1619</v>
      </c>
      <c r="O305" s="8" t="n">
        <v>11250</v>
      </c>
      <c r="P305" s="8" t="n">
        <v>8</v>
      </c>
      <c r="Q305" s="8" t="s">
        <v>119</v>
      </c>
      <c r="R305" s="39"/>
      <c r="S305" s="39"/>
      <c r="T305" s="39"/>
    </row>
    <row r="306" customFormat="false" ht="39.75" hidden="false" customHeight="true" outlineLevel="0" collapsed="false">
      <c r="A306" s="4" t="s">
        <v>191</v>
      </c>
      <c r="B306" s="8" t="n">
        <v>25</v>
      </c>
      <c r="C306" s="8" t="s">
        <v>17</v>
      </c>
      <c r="D306" s="8" t="s">
        <v>17</v>
      </c>
      <c r="E306" s="8" t="s">
        <v>1620</v>
      </c>
      <c r="F306" s="8" t="n">
        <v>11</v>
      </c>
      <c r="G306" s="8" t="n">
        <v>2026</v>
      </c>
      <c r="H306" s="8" t="s">
        <v>543</v>
      </c>
      <c r="I306" s="8" t="s">
        <v>584</v>
      </c>
      <c r="J306" s="8" t="s">
        <v>66</v>
      </c>
      <c r="K306" s="8" t="s">
        <v>1621</v>
      </c>
      <c r="L306" s="8" t="s">
        <v>110</v>
      </c>
      <c r="M306" s="8" t="s">
        <v>1622</v>
      </c>
      <c r="N306" s="8" t="s">
        <v>1623</v>
      </c>
      <c r="O306" s="8" t="n">
        <v>353</v>
      </c>
      <c r="P306" s="8" t="n">
        <v>406</v>
      </c>
      <c r="Q306" s="8" t="s">
        <v>110</v>
      </c>
      <c r="R306" s="39"/>
      <c r="S306" s="39"/>
      <c r="T306" s="39"/>
    </row>
    <row r="307" customFormat="false" ht="39.75" hidden="false" customHeight="true" outlineLevel="0" collapsed="false">
      <c r="A307" s="4" t="s">
        <v>191</v>
      </c>
      <c r="B307" s="8" t="n">
        <v>25</v>
      </c>
      <c r="C307" s="8" t="s">
        <v>17</v>
      </c>
      <c r="D307" s="8" t="s">
        <v>17</v>
      </c>
      <c r="E307" s="8" t="s">
        <v>1624</v>
      </c>
      <c r="F307" s="8" t="n">
        <v>12</v>
      </c>
      <c r="G307" s="8" t="n">
        <v>2026</v>
      </c>
      <c r="H307" s="8" t="s">
        <v>543</v>
      </c>
      <c r="I307" s="8" t="s">
        <v>584</v>
      </c>
      <c r="J307" s="8" t="s">
        <v>66</v>
      </c>
      <c r="K307" s="8" t="s">
        <v>1625</v>
      </c>
      <c r="L307" s="8" t="s">
        <v>25</v>
      </c>
      <c r="M307" s="8" t="s">
        <v>1626</v>
      </c>
      <c r="N307" s="8" t="s">
        <v>1623</v>
      </c>
      <c r="O307" s="8" t="n">
        <v>214</v>
      </c>
      <c r="P307" s="8" t="n">
        <v>246</v>
      </c>
      <c r="Q307" s="8" t="s">
        <v>25</v>
      </c>
      <c r="R307" s="39"/>
      <c r="S307" s="39"/>
      <c r="T307" s="39"/>
    </row>
    <row r="308" customFormat="false" ht="39.75" hidden="false" customHeight="true" outlineLevel="0" collapsed="false">
      <c r="A308" s="4" t="s">
        <v>191</v>
      </c>
      <c r="B308" s="8" t="n">
        <v>25</v>
      </c>
      <c r="C308" s="8" t="s">
        <v>17</v>
      </c>
      <c r="D308" s="8" t="s">
        <v>17</v>
      </c>
      <c r="E308" s="8" t="s">
        <v>1627</v>
      </c>
      <c r="F308" s="8" t="n">
        <v>13</v>
      </c>
      <c r="G308" s="8" t="n">
        <v>2026</v>
      </c>
      <c r="H308" s="8" t="s">
        <v>543</v>
      </c>
      <c r="I308" s="8" t="s">
        <v>584</v>
      </c>
      <c r="J308" s="8" t="s">
        <v>66</v>
      </c>
      <c r="K308" s="8" t="s">
        <v>1628</v>
      </c>
      <c r="L308" s="8" t="s">
        <v>38</v>
      </c>
      <c r="M308" s="8" t="s">
        <v>1629</v>
      </c>
      <c r="N308" s="8" t="s">
        <v>1623</v>
      </c>
      <c r="O308" s="8" t="n">
        <v>74.4</v>
      </c>
      <c r="P308" s="8" t="n">
        <v>86</v>
      </c>
      <c r="Q308" s="8" t="s">
        <v>38</v>
      </c>
      <c r="R308" s="39"/>
      <c r="S308" s="39"/>
      <c r="T308" s="39"/>
    </row>
    <row r="309" customFormat="false" ht="39.75" hidden="false" customHeight="true" outlineLevel="0" collapsed="false">
      <c r="A309" s="4" t="s">
        <v>191</v>
      </c>
      <c r="B309" s="8" t="n">
        <v>25</v>
      </c>
      <c r="C309" s="8" t="s">
        <v>17</v>
      </c>
      <c r="D309" s="8" t="s">
        <v>17</v>
      </c>
      <c r="E309" s="8" t="s">
        <v>1630</v>
      </c>
      <c r="F309" s="8" t="n">
        <v>14</v>
      </c>
      <c r="G309" s="8" t="n">
        <v>2026</v>
      </c>
      <c r="H309" s="8" t="s">
        <v>543</v>
      </c>
      <c r="I309" s="8" t="s">
        <v>584</v>
      </c>
      <c r="J309" s="8" t="s">
        <v>66</v>
      </c>
      <c r="K309" s="8" t="s">
        <v>1631</v>
      </c>
      <c r="L309" s="8" t="s">
        <v>25</v>
      </c>
      <c r="M309" s="8" t="s">
        <v>1632</v>
      </c>
      <c r="N309" s="8" t="s">
        <v>1623</v>
      </c>
      <c r="O309" s="8" t="n">
        <v>17.9</v>
      </c>
      <c r="P309" s="8" t="n">
        <v>21</v>
      </c>
      <c r="Q309" s="8" t="s">
        <v>25</v>
      </c>
      <c r="R309" s="39"/>
      <c r="S309" s="39"/>
      <c r="T309" s="39"/>
    </row>
    <row r="310" customFormat="false" ht="39.75" hidden="false" customHeight="true" outlineLevel="0" collapsed="false">
      <c r="A310" s="4" t="s">
        <v>191</v>
      </c>
      <c r="B310" s="8" t="n">
        <v>25</v>
      </c>
      <c r="C310" s="8" t="s">
        <v>17</v>
      </c>
      <c r="D310" s="8" t="s">
        <v>17</v>
      </c>
      <c r="E310" s="8" t="s">
        <v>1633</v>
      </c>
      <c r="F310" s="8" t="n">
        <v>15</v>
      </c>
      <c r="G310" s="8" t="n">
        <v>2026</v>
      </c>
      <c r="H310" s="8" t="s">
        <v>543</v>
      </c>
      <c r="I310" s="8" t="s">
        <v>584</v>
      </c>
      <c r="J310" s="8" t="s">
        <v>66</v>
      </c>
      <c r="K310" s="8" t="s">
        <v>1634</v>
      </c>
      <c r="L310" s="8" t="s">
        <v>38</v>
      </c>
      <c r="M310" s="8" t="s">
        <v>1635</v>
      </c>
      <c r="N310" s="8" t="s">
        <v>1636</v>
      </c>
      <c r="O310" s="8" t="n">
        <v>76</v>
      </c>
      <c r="P310" s="8" t="n">
        <v>87</v>
      </c>
      <c r="Q310" s="8" t="s">
        <v>38</v>
      </c>
      <c r="R310" s="39"/>
      <c r="S310" s="39"/>
      <c r="T310" s="39"/>
    </row>
  </sheetData>
  <hyperlinks>
    <hyperlink ref="N8" r:id="rId1" display="https://www.trendforce.com/news/2025/09/19/news-japan-pledged-jpy-536-billion-to-micron-escalating-global-semiconductor-subsidy-race/"/>
    <hyperlink ref="N12" r:id="rId2" display="https://www.commerce.gov/news/press-releases/2025/01/department-commerce-finalizes-long-term-partnership-natcast-operate?"/>
    <hyperlink ref="N15" r:id="rId3" display="https://www.manufacturingusa.com/news/biden-harris-administration-awards-semiconductor-research-corporation-manufacturing-consortium?"/>
    <hyperlink ref="N134" r:id="rId4" display="https://www.trendforce.com/news/2025/10/31/... 12"/>
    <hyperlink ref="N135" r:id="rId5" display="https://www.trendforce.com/news/2025/11/05/... 11"/>
    <hyperlink ref="N250" r:id="rId6" display="https://www.intc.com/news-events/press-releases/detail/1748/intel-and-trump-administration-reach-historic-agreement-to?"/>
    <hyperlink ref="N251" r:id="rId7" display="https://www.nist.gov/news-events/news/2026/01/department-commerces-chips-program-announces-letter-intent-usa-rare-earth?"/>
    <hyperlink ref="N252" r:id="rId8" display="https://www.nist.gov/news-events/news/2026/01/department-commerces-chips-program-announces-letter-intent-usa-rare-earth?"/>
    <hyperlink ref="N255" r:id="rId9" display="https://www.meti.go.jp/policy/economy/economic_security/semicon/nintei_anpohandoutai_keikaku_01.pdf"/>
    <hyperlink ref="N277" r:id="rId10" display="https://gov.texas.gov/news/post/governor-abbott-announces-texas-semiconductor-innovation-fund-grant-to-coherent-corp"/>
    <hyperlink ref="N278" r:id="rId11" display="https://gov.texas.gov/news/post/governor-abbott-announces-texas-semiconductor-innovation-fund-grant-to-arm-inc"/>
    <hyperlink ref="N279" r:id="rId12" display="https://gov.texas.gov/news/post/governor-abbott-announces-texas-semiconductor-innovation-fund-grant-to-texas-am-university"/>
    <hyperlink ref="N300" r:id="rId13" display="https://towersemi.com/2026/07/14/07142026/"/>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2025-09-23T21:06:59Z</dcterms:created>
  <dc:creator>Thummel, Joseph</dc:creator>
  <dc:description/>
  <dc:language>en-US</dc:language>
  <cp:lastModifiedBy>Joe Thummel</cp:lastModifiedBy>
  <dcterms:modified xsi:type="dcterms:W3CDTF">2026-09-07T03:45:10Z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