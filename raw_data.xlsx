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Project Sheet" sheetId="1" state="visible" r:id="rId3"/>
    <sheet name="Distribution Sheet" sheetId="2" state="visible" r:id="rId4"/>
  </sheets>
  <calcPr iterateCount="100" refMode="A1" iterate="false" iterateDelta="0.000999999999999945"/>
  <extLst>
    <ext xmlns:loext="http://schemas.libreoffice.org/" uri="{7626C862-2A13-11E5-B345-FEFF819CDC9F}">
      <loext:extCalcPr stringRefSyntax="ExcelA1"/>
    </ext>
  </extLst>
</workbook>
</file>

<file path=xl/sharedStrings.xml><?xml version="1.0" encoding="utf-8"?>
<sst xmlns="http://schemas.openxmlformats.org/spreadsheetml/2006/main" count="5241" uniqueCount="1630">
  <si>
    <t xml:space="preserve">Project Name</t>
  </si>
  <si>
    <t xml:space="preserve">Project ID</t>
  </si>
  <si>
    <t xml:space="preserve">Subproject Name</t>
  </si>
  <si>
    <t xml:space="preserve">Subproject ID</t>
  </si>
  <si>
    <t xml:space="preserve">Year Announced</t>
  </si>
  <si>
    <t xml:space="preserve">Effective Period</t>
  </si>
  <si>
    <t xml:space="preserve">Country / Region</t>
  </si>
  <si>
    <t xml:space="preserve">Type &amp; Status</t>
  </si>
  <si>
    <t xml:space="preserve">Numbers</t>
  </si>
  <si>
    <t xml:space="preserve">Targeted Firms or Parts of Value Chain</t>
  </si>
  <si>
    <t xml:space="preserve">Notes / Description</t>
  </si>
  <si>
    <t xml:space="preserve">Source</t>
  </si>
  <si>
    <t xml:space="preserve">In M's</t>
  </si>
  <si>
    <t xml:space="preserve">In USD</t>
  </si>
  <si>
    <t xml:space="preserve">Focus</t>
  </si>
  <si>
    <t xml:space="preserve">Main Type</t>
  </si>
  <si>
    <t xml:space="preserve">Chips &amp; Science Act (CHIPS Act)</t>
  </si>
  <si>
    <t xml:space="preserve">-</t>
  </si>
  <si>
    <t xml:space="preserve">2023-2027</t>
  </si>
  <si>
    <t xml:space="preserve">United States</t>
  </si>
  <si>
    <t xml:space="preserve">Subsidy; Loan; Tax Incentive</t>
  </si>
  <si>
    <t xml:space="preserve">$53B in distributions; 25% tax reduction</t>
  </si>
  <si>
    <t xml:space="preserve">Fabrication; APT; WFE; R&amp;D</t>
  </si>
  <si>
    <t xml:space="preserve">The CHIPS Act provides $39B in manufacturing incentives (grants/loans) and $11B for R&amp;D programs (NAPMP, NSTC, Metrology, CHIPS Manufacturing USA), plus a separate $2B for legacy/DoD needs, ~$0.5B for international tech security, ~$0.2B for workforce, and a 25% investment tax credit on qualified semiconductor manufacturing investments through 2027. Collectively, it’s designed to reshore leading-edge and trailing-edge capacity, strengthen supply-chain resilience, and build a durable domestic R&amp;D stack from packaging and metrology to design/test</t>
  </si>
  <si>
    <t xml:space="preserve">https://www.congress.gov/117/bills/hr4346/BILLS-117hr4346enr.pdf</t>
  </si>
  <si>
    <t xml:space="preserve">Fabrication</t>
  </si>
  <si>
    <t xml:space="preserve">Comprehensive Plan</t>
  </si>
  <si>
    <t xml:space="preserve">CHIPS Act Guardrails</t>
  </si>
  <si>
    <t xml:space="preserve">1</t>
  </si>
  <si>
    <t xml:space="preserve">Framework</t>
  </si>
  <si>
    <t xml:space="preserve">10 Years</t>
  </si>
  <si>
    <t xml:space="preserve">Firms receiving CHIPS incentives face “guardrails” that restrict materially expanding advanced semiconductor capacity in China (and certain other countries of concern) for 10 years, and prohibit joint research or technology licensing that would support advanced semiconductor development in those countries. These limits are meant to prevent U.S. subsidies from indirectly fueling strategic competitors’ advanced nodes</t>
  </si>
  <si>
    <t xml:space="preserve">Section 301 Tariffs on Chinese Semiconductors</t>
  </si>
  <si>
    <t xml:space="preserve">2018-Indefinitely</t>
  </si>
  <si>
    <t xml:space="preserve">Tariff</t>
  </si>
  <si>
    <t xml:space="preserve">Materials; WFE</t>
  </si>
  <si>
    <t xml:space="preserve">25% tariff on Chinese semiconductor chips and capital equipment since 2018; tariff rate on specified semiconductor products increased to 50% effective January 1, 2025; 50% tariff on Chinese solar-grade polysilicon and wafers (impacting upstream supply chains) beginning January 1, 2025; additional tariff increases on certain tungsten products and components used in semiconductor manufacturing effective 2025; machinery-exclusion process available for some chip-manufacturing tools based on USTR review</t>
  </si>
  <si>
    <t xml:space="preserve">https://www.govinfo.gov/content/pkg/FR-2024-09-18/pdf/2024-21217.pdf</t>
  </si>
  <si>
    <t xml:space="preserve">WFE</t>
  </si>
  <si>
    <t xml:space="preserve">Export Control Reform Act</t>
  </si>
  <si>
    <t xml:space="preserve">Export Control</t>
  </si>
  <si>
    <t xml:space="preserve">Design; WFE; Fabrication; Materials; Design</t>
  </si>
  <si>
    <t xml:space="preserve">ECRA authorizes control over exports of “emerging and foundational technologies” vital to national security, implemented through the Commerce Department’s BIS. It provides legal footing to place advanced chips, EDA, tools, and related know-how under licensing requirements—even when produced abroad with U.S. technology</t>
  </si>
  <si>
    <t xml:space="preserve">https://www.congress.gov/115/bills/hr5040/BILLS-115hr5040ih.pdf</t>
  </si>
  <si>
    <t xml:space="preserve">Design</t>
  </si>
  <si>
    <t xml:space="preserve">Control</t>
  </si>
  <si>
    <t xml:space="preserve">FIRMMA</t>
  </si>
  <si>
    <t xml:space="preserve">2020-Indefinitely</t>
  </si>
  <si>
    <t xml:space="preserve">Foreign Investment Control</t>
  </si>
  <si>
    <t xml:space="preserve">Design; WFE; Fabrication; APT; R&amp;D</t>
  </si>
  <si>
    <t xml:space="preserve">The Foreign Investment Risk Review Modernization Act expands CFIUS jurisdiction beyond controlling acquisitions to certain non-controlling minority investments in U.S. “critical technology” businesses (including many semiconductor firms), along with real-estate and data-related risks. Final regulations detail mandatory filings for some transactions and broaden review triggers to cover sensitive supply chains</t>
  </si>
  <si>
    <t xml:space="preserve">https://home.treasury.gov/system/files/206/Final-FIRRMA-Regulations-FACT-SHEET.pdf</t>
  </si>
  <si>
    <t xml:space="preserve">Export Controls on Advanced Chips</t>
  </si>
  <si>
    <t xml:space="preserve">2022-Indefinitely</t>
  </si>
  <si>
    <t xml:space="preserve">Design; Logic; WFE; R&amp;D</t>
  </si>
  <si>
    <t xml:space="preserve">Adds advanced chips and tools to export control lists; Extends U.S. export rules to foreign-made tech and entities; Restricts Chinese fabs and U.S. persons from advanced chip work</t>
  </si>
  <si>
    <t xml:space="preserve">https://www.bis.doc.gov/index.php/documents/about-bis/newsroom/press-releases/3158-2022-10-07-bis-press-release-advanced-computing-and-semiconductor-manufacturing-controls-final/file</t>
  </si>
  <si>
    <t xml:space="preserve">New York "Green CHIPS" Program</t>
  </si>
  <si>
    <t xml:space="preserve">2022-2041</t>
  </si>
  <si>
    <t xml:space="preserve">Tax Incentive</t>
  </si>
  <si>
    <t xml:space="preserve">$20B</t>
  </si>
  <si>
    <t xml:space="preserve">Fabrication; R&amp;D; WFE</t>
  </si>
  <si>
    <t xml:space="preserve">5% investment tax credit; R&amp;D tax credit of 8% of expenditures; jobs tax credit of up to 7.5% of gross wages per new job; max $500m credits / year through 2041</t>
  </si>
  <si>
    <t xml:space="preserve">https://www.wolterskluwer.com/en/expert-insights/new-yorks-green-chips-incentives-for-semiconductor-manufacturing</t>
  </si>
  <si>
    <t xml:space="preserve">Texas CHIPS Act</t>
  </si>
  <si>
    <t xml:space="preserve">2023-2024</t>
  </si>
  <si>
    <t xml:space="preserve">Subsidy</t>
  </si>
  <si>
    <t xml:space="preserve">$1.6B</t>
  </si>
  <si>
    <t xml:space="preserve">Fabrication; R&amp;D</t>
  </si>
  <si>
    <t xml:space="preserve">$698M for a new semiconductor fund (TSIF); 660m in funding for R&amp;D at universities (UT  Austin &amp; Texas A&amp;M); plan focus is to make Texas a semiconductor manufacturing center; $250M added to TSIF in June 2025</t>
  </si>
  <si>
    <t xml:space="preserve">https://gov.texas.gov/uploads/files/business/Texas_CHIPS_Act_Snapshot.pdf</t>
  </si>
  <si>
    <t xml:space="preserve">Made in China 2025</t>
  </si>
  <si>
    <t xml:space="preserve">2015-2025</t>
  </si>
  <si>
    <t xml:space="preserve">China</t>
  </si>
  <si>
    <t xml:space="preserve">Strategic Plan</t>
  </si>
  <si>
    <t xml:space="preserve">Made in China 2025 set a goal of ≈70% self-sufficiency in semiconductors by 2025, mobilizing vast state subsidies, tax incentives and investment funds directed at chip manufacturing, packaging, advanced materials and equipment to reduce reliance on foreign technology; the plan placed semiconductors at its centre, aiming to “replace imports” and build domestic champions,</t>
  </si>
  <si>
    <t xml:space="preserve">https://cset.georgetown.edu/wp-content/uploads/t0432_made_in_china_2025_EN.pdf?</t>
  </si>
  <si>
    <t xml:space="preserve">National Integrated Circuit Industry Development Promotion Outline</t>
  </si>
  <si>
    <t xml:space="preserve">2014-2029</t>
  </si>
  <si>
    <t xml:space="preserve">Equity Investment</t>
  </si>
  <si>
    <t xml:space="preserve">Fabrication; WFE</t>
  </si>
  <si>
    <t xml:space="preserve">National state semiconductor investment fund plans and tax incentives</t>
  </si>
  <si>
    <t xml:space="preserve">Investment</t>
  </si>
  <si>
    <t xml:space="preserve">National IC Industry Investment Fund ("Big Fund I")</t>
  </si>
  <si>
    <t xml:space="preserve">2014-2018</t>
  </si>
  <si>
    <t xml:space="preserve">138.7b Yuan, ($19.4B USD)</t>
  </si>
  <si>
    <t xml:space="preserve">Fabrication; Design; APT</t>
  </si>
  <si>
    <t xml:space="preserve">National state semiconductor investment fund; funds to be allocated 60% to Foundry; other 40% Design; Packaging</t>
  </si>
  <si>
    <t xml:space="preserve">https://www.lawinfochina.com/display.aspx?id=26681&amp;lib=law</t>
  </si>
  <si>
    <t xml:space="preserve">National IC Industry Investment Fund ("Big Fund II")</t>
  </si>
  <si>
    <t xml:space="preserve">2</t>
  </si>
  <si>
    <t xml:space="preserve">2019-2024</t>
  </si>
  <si>
    <t xml:space="preserve">204.0b Yuan, ($28.6B USD)</t>
  </si>
  <si>
    <t xml:space="preserve">2nd National state semiconductor investment fund; 2nd fund to be more foucsed on fabrication with investments to be allocated 75% Foundry; other 25% Design &amp; Packaging</t>
  </si>
  <si>
    <t xml:space="preserve">https://m.bjnews.com.cn/detail/157201078715912.html?</t>
  </si>
  <si>
    <t xml:space="preserve">National IC Industry Investment Fund ("Big Fund III")</t>
  </si>
  <si>
    <t xml:space="preserve">3</t>
  </si>
  <si>
    <t xml:space="preserve">2024-2029</t>
  </si>
  <si>
    <t xml:space="preserve">344.0b Yuan ($48.2B USD)</t>
  </si>
  <si>
    <t xml:space="preserve">WFE; Materials; APT; Design</t>
  </si>
  <si>
    <t xml:space="preserve">3rd state semiconductor investment fund; focused mostly on areas where China is weak or constrained by foreign export controls; “chokepoint” technologies, including semiconductor equipment, core materials, and EDA software</t>
  </si>
  <si>
    <t xml:space="preserve">https://english.www.gov.cn/news/202405/29/content_WS66569746c6d0868f4e8e7987.html?</t>
  </si>
  <si>
    <t xml:space="preserve">"Several Policies to Promote the High-quality Development of the Integrated Circuit Industry and Software Industry in the New Era" (State Council Doc No.8)</t>
  </si>
  <si>
    <t xml:space="preserve">Tax Incentive; Loan</t>
  </si>
  <si>
    <t xml:space="preserve">Fabrication; Logic; Design; WFE; APT; R&amp;D</t>
  </si>
  <si>
    <t xml:space="preserve">≤28nm IC makers 10-yr tax exemption; ≤65nm IC makers 5-yr exemption + 5 yrs half tax; ≤130nm IC makers 2-yr exemption + 3 yrs half tax, losses carried forward 10 yrs; IC design/equipment/material/packaging/testing/software firms exempt 2 yrs + half tax 2 yrs; key IC design &amp; software firms exempt 5 yrs + 10% tax thereafter; tax scope adjustable, VAT preferences continue; advanced IC/packaging firms exempt from import duties on materials/cleanroom goods; key IC/software firms exempt from import duties on equipment/tech/software; local govs set up loan risk compensation, support IP/equity pledge financing &amp; S&amp;T insurance; commercial financial institutions expand long-term lending, insurance funds &amp; asset managers create equity/financing products</t>
  </si>
  <si>
    <t xml:space="preserve">https://cset.georgetown.edu/wp-content/uploads/t0195_IC_software_policy_EN.pdf</t>
  </si>
  <si>
    <t xml:space="preserve">Comprehensive Package</t>
  </si>
  <si>
    <t xml:space="preserve">Export Restrictions on Critical Minerals</t>
  </si>
  <si>
    <t xml:space="preserve">2023-Indefinitely</t>
  </si>
  <si>
    <t xml:space="preserve">Materials</t>
  </si>
  <si>
    <t xml:space="preserve">Beginning July 2023, China required export permits for germanium and gallium; by Dec 2024 it fully banned U.S. shipments. As these are key inputs for substrates and compound semis, the controls target upstream leverage in response to foreign chip/tool restrictions</t>
  </si>
  <si>
    <t xml:space="preserve">https://www.winston.com/en/blogs-and-podcasts/global-trade-and-foreign-policy-insights/china-places-export-controls-on-raw-materials-used-in-semiconductor-manufacturing?</t>
  </si>
  <si>
    <t xml:space="preserve">Taiwanese Chip Act (Article 10-2 of the Statue for Industrial Inovation)</t>
  </si>
  <si>
    <t xml:space="preserve">2023-2029</t>
  </si>
  <si>
    <t xml:space="preserve">Taiwan</t>
  </si>
  <si>
    <t xml:space="preserve">R&amp;D; Fabrication; Design</t>
  </si>
  <si>
    <t xml:space="preserve">25% deduction for R&amp;D expenses; 5% reduction on CapEx for businesses with R&amp;D of at least NT$6B, R&amp;D density of at least 6%, expenditures of at least NT$10B for advanced equipment</t>
  </si>
  <si>
    <t xml:space="preserve">https://www.leeandli.com/EN/NewslettersDetail/7030.htm</t>
  </si>
  <si>
    <t xml:space="preserve">R&amp;D</t>
  </si>
  <si>
    <t xml:space="preserve">Taiwanese Chip-Based Industrial Innovation Program (TCIIP)</t>
  </si>
  <si>
    <t xml:space="preserve">2024-2033</t>
  </si>
  <si>
    <t xml:space="preserve">NT$300B ($9.8B USD)</t>
  </si>
  <si>
    <t xml:space="preserve">R&amp;D; Fabrication; Design; WFE; APT</t>
  </si>
  <si>
    <t xml:space="preserve">A NT$300B (~US$9–10B) initiative (2024–2033) to reinforce Taiwan’s edge by funding IC R&amp;D, talent attraction, and heterogeneous integration/advanced packaging. The program explicitly marries AI with IC development and aims to attract foreign startups and capital</t>
  </si>
  <si>
    <t xml:space="preserve">https://english.ey.gov.tw/Page/61BF20C3E89B856/746ecbac-25ad-47dd-9b93-274388d471b3</t>
  </si>
  <si>
    <t xml:space="preserve">Export Controls on Chip Materials (to S. Korea)</t>
  </si>
  <si>
    <t xml:space="preserve">2019-2023</t>
  </si>
  <si>
    <t xml:space="preserve">Japan</t>
  </si>
  <si>
    <t xml:space="preserve">Tightened export licensing for photoresists; high-purity hydrogen fluoride; fluorinated polyimide; restriction caused Japanese exports of hydrogen fluoride to South Korea to decline by an estimated 87.9% post-July 2019; aimed at limiting South Korea's supply of key chip materials; dispute began in 2019 and ended in 2023</t>
  </si>
  <si>
    <t xml:space="preserve">https://cen.acs.org/policy/trade/Japan-hits-South-Korea-controls/97/i28#:~:text=The%20Japanese%20government%20has%20imposed%20export%20controls,of%20trust%20between%20Japan%20and%20South%20Korea.</t>
  </si>
  <si>
    <t xml:space="preserve">AI / Semiconductor Industrial Infrastructure Reinforcement Framework</t>
  </si>
  <si>
    <t xml:space="preserve">2024-2030</t>
  </si>
  <si>
    <t xml:space="preserve">Subsidy; Equity Investment</t>
  </si>
  <si>
    <t xml:space="preserve">¥10T ($65B USD) through 2030</t>
  </si>
  <si>
    <t xml:space="preserve">R&amp;D; Fabrication; WFE; Design; Data Center</t>
  </si>
  <si>
    <t xml:space="preserve">Over ¥10 trillion public support framework through 2030 to spur ¥50 trillion combined public-private investment; goals include reclaiming global tech leadership and addressing labor shortages via AI/automation; targets next-generation semiconductor manufacturing (e.g., Rapidus 2nm chip mass production by 2027); invests ¥1.05 trillion in quantum computing and advanced chip R&amp;D; supports domestic production of advanced chips, including logic chips (e.g., TSMC), power semiconductors (e.g., SiC, GaN for EVs), and specialty chips; funds development of AI supercomputers and domestic generative AI capabilities (e.g., GENIAC initiative); aims to secure stable, resilient supply chains for critical technology</t>
  </si>
  <si>
    <t xml:space="preserve">https://www.cnbc.com/2024/11/13/japan-is-ramping-up-efforts-to-revive-its-once-dominant-chip-industry-.html#:~:text=Japan%20is%20looking%20to%20revitalize,for%20its%20domestic%20chip%20sector.&amp;text=Japan%20has%20announced%20a%20new,15%20trillion%20yen%20by%202030.; https://introl.com/blog/japan-ai-infrastructure-135-billion-investment-2025#:~:text=Japan%20has%20emerged%20as%20Asia's,major%20technology%20corporations%20through%202030.</t>
  </si>
  <si>
    <t xml:space="preserve">Strategy for Semiconductors and the Digital Industry</t>
  </si>
  <si>
    <t xml:space="preserve">2021-2030</t>
  </si>
  <si>
    <t xml:space="preserve">Tax Incentive; Subsidy</t>
  </si>
  <si>
    <t xml:space="preserve">Logic; APT; WFE; Fabrication</t>
  </si>
  <si>
    <t xml:space="preserve">Qualified businesses can choose special depreciation equal to 30% of the acquisition cost of certified 5G equipment; or can claim a  tax credit 15% of the acquisition cost;  50% property tax reduction for 5G deployments; tax benefits capped at 20% of corporate tax; tax program expired on April 1, 2025</t>
  </si>
  <si>
    <t xml:space="preserve">https://www.jetro.go.jp/ext_images/invest/ijre/report2022/; https://web-assets.bcg.com/25/6e/7a123efd40199020ed1b4114be84/emerging-resilience-in-the-semiconductor-supply-chain-r.pdf</t>
  </si>
  <si>
    <t xml:space="preserve">5G Promotion Act</t>
  </si>
  <si>
    <t xml:space="preserve">¥2.7T ($17.1B USD)</t>
  </si>
  <si>
    <t xml:space="preserve">Qualified businesses can choose special depreciation equal to 30% of the acquisition cost of certified 5G equipment; or can claim a  tax credit 15% of the acquisition cost;  50% property tax reduction for 5G deployments; tax benefits capped at 20% of corporate tax; tax program expired on April 1, 2025; also subsidy program that is updated as of FY2023 (in total budget amount)</t>
  </si>
  <si>
    <t xml:space="preserve">Economic Security Promotion Act</t>
  </si>
  <si>
    <t xml:space="preserve">Loan; Tax Incentive; Subsidy</t>
  </si>
  <si>
    <t xml:space="preserve">¥2.5T (16.5B USD)</t>
  </si>
  <si>
    <t xml:space="preserve">Compound; WFE; Materials</t>
  </si>
  <si>
    <t xml:space="preserve">Japan's core semiconductor policy is the Economic Security Promotion Act (ESPA); It designates semiconductors as a "Specified Critical Item"; The government offers massive capital subsidies for new or expanded domestic production capacity; Companies must submit Secure Supply Plans to qualify for financial support and ensure supply source diversification; The policy provides R&amp;D funding for advanced technologies via government-affiliated centers; It also utilizes a Secret Patent system to prevent the leakage of sensitive semiconductor-related innovations; Aims are to achieve strategic autonomy and enhance overall supply chain resilience.</t>
  </si>
  <si>
    <t xml:space="preserve">https://www.meti.go.jp/english/policy/0704_001.pdf</t>
  </si>
  <si>
    <t xml:space="preserve">Post 5G R&amp;D Fund</t>
  </si>
  <si>
    <t xml:space="preserve">¥2.52T ($16.3B USD)</t>
  </si>
  <si>
    <t xml:space="preserve">R&amp;D; Design; Workforce Development</t>
  </si>
  <si>
    <t xml:space="preserve">Japan’s New Energy and Industrial Technology Development Organization (NEDO) launched the “R&amp;D Project of the Enhanced Infrastructure for Post-5G Information and Communication Systems” in FY 2020 with a budget of approximately ¥1,472.3 billion; the programme covers development of next-gen communications systems and advanced semiconductors, manufacturing technologies for advanced logic chips and packaging/miniaturisation; a related scheme from FY 2023 by National Institute of Information and Communications Technology (NICT) created the “Innovative ICT Fund Projects for Beyond 5G/6G” to support social implementation, overseas expansion and radio-spectrum technologies.</t>
  </si>
  <si>
    <t xml:space="preserve">https://www.meti.go.jp/english/policy/0704_001.pdf; https://www.meti.go.jp/policy/mono_info_service/joho/post5g/pdf/20250207003.pdf?\</t>
  </si>
  <si>
    <t xml:space="preserve">Export Controls on Chipmaking Equipment</t>
  </si>
  <si>
    <t xml:space="preserve">Exporters of Chinese-origin rare metals including gallium and germanium must obtain government licence for export after August 1, 2023; China’s Ministry of Commerce of the People’s Republic of China and General Administration of Customs of the People’s Republic of China announced controls on these items used in semiconductor manufacturing citing national security; measure targets upstream materials critical for advanced chipmaking and has implication for firms supplying to the Chinese military-civil fusion ecosystem</t>
  </si>
  <si>
    <t xml:space="preserve">https://www.reuters.com/technology/japan-restrict-chipmaking-equipment-exports-aligning-it-with-us-china-curbs-2023-03-31/</t>
  </si>
  <si>
    <t xml:space="preserve">System Semiconductor Vision (Non-memory initiative)</t>
  </si>
  <si>
    <t xml:space="preserve">2019-2030</t>
  </si>
  <si>
    <t xml:space="preserve">South Korea</t>
  </si>
  <si>
    <t xml:space="preserve">₩1.1T  ($745M USD)</t>
  </si>
  <si>
    <t xml:space="preserve">Fabrication; Design; Workforce Development; Logic</t>
  </si>
  <si>
    <t xml:space="preserve">1 trillion won of direct government investment for R&amp;D, education; 100 billion won investment fund for supporting fabless design firms; 250 billion won below-market loans for foundry &amp; manufacturing infrastructure businesses; special taxation and tax deduction categories for semiconductor businesses; training of 17,000 semiconductor professionals via academic programs</t>
  </si>
  <si>
    <t xml:space="preserve">https://www.businesskorea.co.kr/news/articleView.html?idxno=48289;https://koreajoongangdaily.joins.com/2019/04/30/economy/Government-launches-plan-to-make-Korea-a-semiconductor-leader-by-2030/3062504.html</t>
  </si>
  <si>
    <t xml:space="preserve">K-Semiconductor Strategy ("Chip Belt" Plan)</t>
  </si>
  <si>
    <t xml:space="preserve">Equity Investment; Framework; Tax Incentive</t>
  </si>
  <si>
    <t xml:space="preserve">₩1T ($677M USD); 40-50% R&amp;D and Investment Tax Credit</t>
  </si>
  <si>
    <t xml:space="preserve">WFE; Materials; APT; Fabrication</t>
  </si>
  <si>
    <t xml:space="preserve">South Korea’s “K-Semiconductor Belt” initiative aims to link major chip clusters in the Seoul-region into one integrated semiconductor supply-chain “belt”; the government and private firms pledged over KRW 510 trillion in investment through 2030 to build memory, logic/foundry, packaging and materials ecosystem; major companies such as Samsung Electronics and SK Hynix lead the investments across the belt; 40-50% R&amp;D tax credit; 1T won fund</t>
  </si>
  <si>
    <t xml:space="preserve">https://world.kbs.co.kr/service/contents_view.htm?board_seq=403357</t>
  </si>
  <si>
    <t xml:space="preserve">K-Chips Act</t>
  </si>
  <si>
    <t xml:space="preserve">2023-2025</t>
  </si>
  <si>
    <t xml:space="preserve">Primary legislative amendment to the Act on Restriction on Special Cases Concerning Taxation enacted in March 2023 to bolster South Korea’s semiconductor industry; elevates tax-credit rates for facility investment and R&amp;D in national strategic technologies (including semiconductors) and introduces bonus deductions for incremental investments in 2023; defines eligibility criteria tied to advanced node process technologies (e.g., 15 nm or lower DRAM, 7 nm or less foundry) and insists on localisation and ecosystem development; aligns South Korea’s policy more closely with global semiconductor subsidy competition (such as the U.S. CHIPS Act) and addresses national security/supply-chain resilience by channeling support to major domestic chip-makers like Samsung Electronics and SK Hynix; sets sunset dates (investment incentives valid through 2029, R&amp;D through 2031) to provide policy certainty and attract long-term capital</t>
  </si>
  <si>
    <t xml:space="preserve">https://www.kimchang.com/en/insights/detail.kc?sch_section=4&amp;idx=27331</t>
  </si>
  <si>
    <t xml:space="preserve">K-Chips Act (Tax Cut Extension)</t>
  </si>
  <si>
    <t xml:space="preserve">2025-2031</t>
  </si>
  <si>
    <t xml:space="preserve">Increased tax credit rate for facility investments by semiconductor companies by 5% more than original K-Chips act; establishes and extends R&amp;D tax credit program until 2031</t>
  </si>
  <si>
    <t xml:space="preserve">https://www.businesskorea.co.kr/news/articleView.html?idxno=236425</t>
  </si>
  <si>
    <t xml:space="preserve">South Korea Push for Defence Semiconductor Self Sufficiency</t>
  </si>
  <si>
    <t xml:space="preserve">Establishes DAPA Office for Defense Semiconductors; create a high-tech semiconductor army by 2030; plan on allowing DAPA to allow direct funding, tax beenfits, and IP Support</t>
  </si>
  <si>
    <t xml:space="preserve">https://www.foi.se/rest-api/report/FOI%20Memo%208937</t>
  </si>
  <si>
    <t xml:space="preserve">Semiconductor National Support Program</t>
  </si>
  <si>
    <t xml:space="preserve">Subsidy; Loan</t>
  </si>
  <si>
    <t xml:space="preserve">₩26T ($19B USD)</t>
  </si>
  <si>
    <t xml:space="preserve">R&amp;D; Logic; Fabrication</t>
  </si>
  <si>
    <t xml:space="preserve">South Korea’s Semiconductor National Support Program announced May 2024; introduces 17 trillion below-market financial loan program through state-run banks to ease liquidity constraints for chip manufacturers; includes 1.1 trillion chip fund targeting fabless semiconductor firms and startups; allocates 5 trillion toward R&amp;D infrastructure, equipment modernization, and semiconductor-talent training; complements tax incentives under the K-Chips Act and strategic investments under the K-Semiconductor Belt; designed to accelerate domestic capacity expansion and secure global competitiveness amid intensifying U.S.–China chip rivalry.</t>
  </si>
  <si>
    <t xml:space="preserve">https://www.koreaherald.com/article/3400568#:~:text=May%2023%2C%202024%20%2D%2015:,held%20at%20the%20presidential%20office.</t>
  </si>
  <si>
    <t xml:space="preserve">European Chips Act</t>
  </si>
  <si>
    <t xml:space="preserve">2023-2030</t>
  </si>
  <si>
    <t xml:space="preserve">European Union</t>
  </si>
  <si>
    <t xml:space="preserve">Subsidy; Equity Investment; Loan</t>
  </si>
  <si>
    <t xml:space="preserve">€43B</t>
  </si>
  <si>
    <t xml:space="preserve">Logic; Fabrication; WFE; R&amp;D</t>
  </si>
  <si>
    <t xml:space="preserve">Regulation (EU) 2023/1781 establishing a framework to strengthen Europe’s semiconductor ecosystem; entered into force September 21 2023; aims to double Europe’s global chip market share from ~10 % to 20 % by 2030; mobilizes €43 billion in combined public and private funding; creates three pillars — (1) Chips for Europe Initiative to fund R&amp;D, pilot lines, and design platforms, (2) State-aid framework for “first-of-a-kind” fabs and open EU foundries, and (3) Monitoring and crisis response mechanism for supply-chain resilience; supports advanced manufacturing, packaging, testing, design, and materials research; emphasizes coordination among Member States and alignment with industrial policy tools like IPCEI and Horizon Europe; serves as EU’s counterpart to the U.S. CHIPS Act, designed to ensure European technological sovereignty</t>
  </si>
  <si>
    <t xml:space="preserve">https://eur-lex.europa.eu/legal-content/EN/TXT/PDF/?uri=CELEX:32023R1781</t>
  </si>
  <si>
    <t xml:space="preserve">Important Projects of Common European Interest (IPCEI) on Microelectronics (First IPCEI)</t>
  </si>
  <si>
    <t xml:space="preserve">€1.9B</t>
  </si>
  <si>
    <t xml:space="preserve">EU’s first Important Project of Common European Interest (IPCEI) on Microelectronics approved December 18, 2018; involved 5 Member States (France, Germany, Italy, U.K., and later additions) and 32 companies; unlocked €1.9 billion in public funding and ~€6.5 billion in private investment; targeted research and industrial deployment of microelectronics technologies including energy-efficient chips, power semiconductors, sensors, and advanced packaging; supported construction of pilot lines and initial industrial facilities to accelerate EUV lithography and automotive/industrial semiconductors; aimed to build the foundation of Europe’s semiconductor sovereignty through cross-border state-aid coordination</t>
  </si>
  <si>
    <t xml:space="preserve">https://www.epc.eu/publication/Making-IPCEIs-a-new-vanguard-for-EU-industrial-policy-650b30/#:~:text=For%20example%2C%20the%20IPCEI%20on%20Microelectronics%20provided,application%20of%20Extreme%20Ultraviolet%20(EUV)%20chip%20nano%2D</t>
  </si>
  <si>
    <t xml:space="preserve">Second IPCEI on Microelectronics</t>
  </si>
  <si>
    <t xml:space="preserve">2023-2032</t>
  </si>
  <si>
    <t xml:space="preserve">€8.1B</t>
  </si>
  <si>
    <t xml:space="preserve">Second IPCEI approved June 8, 2023 expanding scope beyond microelectronics into 5G/6G, connectivity, and edge AI hardware; includes 14 Member States and 56 companies; provides €8.1 billion in public funding and an expected €13.7 billion in private investment; covers full semiconductor value chain including analog/mixed-signal ICs, logic, SiC power devices, sensors, equipment, materials, and packaging; supports R&amp;D, pilot production, and first industrial deployment under state-aid exemption rules; complements the European Chips Act as the core industrial implementation arm for semiconductor and communication technology resilience</t>
  </si>
  <si>
    <t xml:space="preserve">https://competition-policy.ec.europa.eu/state-aid/ipcei/approved-ipceis/microelectronics-value-chain_en; https://www.eca.europa.eu/ECAPublications/SR-2025-12/SR-2025-12_EN.pdf?</t>
  </si>
  <si>
    <t xml:space="preserve">France - France 2030 Programme (Electronique)</t>
  </si>
  <si>
    <t xml:space="preserve">France</t>
  </si>
  <si>
    <t xml:space="preserve">€5-5.5B</t>
  </si>
  <si>
    <t xml:space="preserve">Fabrication; R&amp;D; Design</t>
  </si>
  <si>
    <t xml:space="preserve">"France 2030 will ultimately dedicate more than €5 billion in support to the development of the electronics sector and will result in a total of more than €16 billion in investment projects in industry and innovation, and the creation of around 5,700 direct jobs, based on three main areas:
- Support for the industrialization of electronic technologies in France and an overall increase in production capacity in France of around 90%:
o A "mega-fab" project led by STMicroelectronics and GlobalFoundries, which will more than double production capacity in France in low-power technologies to meet the needs of our industries by 2030.
o The development and production in France of low-power electronic technologies (FD-SOI), power technologies (GaN, SiC, etc.), and sensors needed to achieve ecological and digital transitions in France and Europe.
o The establishment of Intel design and service centers in France.
o A budget for future industrial production and disruptive innovation projects."</t>
  </si>
  <si>
    <t xml:space="preserve">https://www.info.gouv.fr/upload/media/organization/0001/01/sites_default_files_contenu_piece-jointe_2022_07_22_-_dossier_de_presse_-_electronique_2030.pdf</t>
  </si>
  <si>
    <t xml:space="preserve">Netherlands - ASML Export Controls</t>
  </si>
  <si>
    <t xml:space="preserve">Netherlands</t>
  </si>
  <si>
    <t xml:space="preserve">The Netherlands has tightened national export-control measures on advanced semiconductor manufacturing equipment, aligning with security and strategic supply-chain concerns; as of 7 September 2024, the Dutch government expanded the national authorisation requirement so that more types of semiconductor manufacturing equipment (including measuring, inspection and lithography tools) must receive an export licence.  Earlier, on 1 April 2025, additional modifications came into effect requiring authorisation for more equipment types. These measures directly impact ASML, the world-leading supplier of lithography machines, which must now apply for Dutch export licences (rather than only US licences) for key systems.  The tightening aims to prevent unrestricted transfer of high-end chipmaking technology to China and other jurisdictions of concern, thereby preserving Dutch and European technological leadership and security</t>
  </si>
  <si>
    <t xml:space="preserve">https://www.asml.com/en/news/press-releases/2023/statement-regarding-export-control-regulations-dutch-government</t>
  </si>
  <si>
    <t xml:space="preserve">France - Nano 2022</t>
  </si>
  <si>
    <t xml:space="preserve">2018-2022</t>
  </si>
  <si>
    <t xml:space="preserve">€1.1B</t>
  </si>
  <si>
    <t xml:space="preserve">R&amp;D; Fabrication; WFE</t>
  </si>
  <si>
    <t xml:space="preserve">successor to Nano 2017 launched to align with the IPCEI Microelectronics framework; mobilized about €5 billion total investment (public and private) from 2018–2022; targeted low-power processors, power semiconductors, sensors, and compound materials for automotive, IoT, and communications markets; involved firms like STMicroelectronics, Soitec, Murata, and UMS; focused on R&amp;D-to-industrialization transition including pilot lines for FD-SOI, GaN, and RF devices; aimed to maintain France’s leadership in energy-efficient and embedded microelectronics and integrate with Europe’s broader semiconductor supply chain</t>
  </si>
  <si>
    <t xml:space="preserve">https://www.entreprises.gouv.fr/files/files/Publications/2025/Th%C3%A9mas/20250404-thema-semiconducteur-version%20anglaise.pdf</t>
  </si>
  <si>
    <t xml:space="preserve">France - Nano 2017</t>
  </si>
  <si>
    <t xml:space="preserve">2013-2017</t>
  </si>
  <si>
    <t xml:space="preserve">€600M</t>
  </si>
  <si>
    <t xml:space="preserve">R&amp;D; Fabrication</t>
  </si>
  <si>
    <t xml:space="preserve">national R&amp;D and industrial innovation program for nanoelectronics launched under the French government’s “Programme d’Investissements d’Avenir”; aimed to strengthen France’s semiconductor manufacturing ecosystem and maintain European leadership in advanced CMOS, sensors, and power devices; total investment about €1.765 billion, including €598 million public funding from the French state and the European Commission; coordinated by CEA-LETI and STMicroelectronics with participation from Soitec and other Grenoble cluster firms; focused on pilot production lines, new materials, and scaling research up to 28 nm nodes; enhanced cooperation between public research and industry to consolidate the Crolles-Grenoble cluster as France’s semiconductor R&amp;D hub</t>
  </si>
  <si>
    <t xml:space="preserve">National Semiconductor Strategy</t>
  </si>
  <si>
    <t xml:space="preserve">2023-2033</t>
  </si>
  <si>
    <t xml:space="preserve">United Kingdom</t>
  </si>
  <si>
    <t xml:space="preserve">£1B</t>
  </si>
  <si>
    <t xml:space="preserve">Design; R&amp;D; Compound</t>
  </si>
  <si>
    <t xml:space="preserve">Launched 19 May 2023 with a 20-year horizon to secure world-leading positions in semiconductor technologies; commits up to £200 million for 2023-25 and up to £1 billion over the next decade to support R&amp;D, design and IP, and compound semiconductors; focuses on three objectives — growing the domestic sector (especially UK strengths in design, R&amp;D, compound semiconductors), improving supply-chain resilience and safeguarding national security in semiconductor technology; includes the launch of the UK Semiconductor Advisory Panel and the UK Semiconductor Institute to translate policy into action; emphasises collaboration with industry and academia, expansion of UK foundry and prototype infrastructure, and integration with international partners for trusted supply-chains</t>
  </si>
  <si>
    <t xml:space="preserve">https://data.parliament.uk/DepositedPapers/Files/DEP2023-0443/CP_838_National_Semiconductor_Strategy.pdf</t>
  </si>
  <si>
    <t xml:space="preserve">RIE 2025</t>
  </si>
  <si>
    <t xml:space="preserve">2021-2025</t>
  </si>
  <si>
    <t xml:space="preserve">Singapore</t>
  </si>
  <si>
    <t xml:space="preserve">Subsidy; Tax Incentive</t>
  </si>
  <si>
    <t xml:space="preserve">S$10B+ ($7.72B)*</t>
  </si>
  <si>
    <t xml:space="preserve">Singapore’s Research, Innovation and Enterprise 2025 (RIE2025) plan allocates S$10 billion toward advanced manufacturing and semiconductor technologies within its Manufacturing, Trade &amp; Connectivity domain; funding supports R&amp;D translation centres such as the National Semiconductor Translation and Innovation Centre, programs in AI chip design, silicon photonics, compound semiconductors, and wide-band-gap materials; aims to deepen Singapore’s semiconductor value-chain capabilities in research, packaging, and prototyping while enhancing talent development and local supply-chain resilience; complements national efforts to anchor semiconductor manufacturing, maintain ~20 % share of global equipment output, and strengthen collaboration between A*STAR, IME, EDB, and leading chipmakers</t>
  </si>
  <si>
    <t xml:space="preserve">https://www.edb.gov.sg/en/business-insights/insights/the-chips-arent-down.html#:~:text=The%20chips%20aren%27t%20down%20,aimed%20at%20advancing%20research%2C. https://grow.singlife.com/content/dam/singlife-elevate/insights/thematic-report/edition-06/thematic_report_edition_06_20250516.pdf; https://www.pmo.gov.sg/newsroom/dpm-heng-swee-keat-opening-remarks-at-the-rie2025-press-conference/</t>
  </si>
  <si>
    <t xml:space="preserve">RIE 2020</t>
  </si>
  <si>
    <t xml:space="preserve">2016-2020</t>
  </si>
  <si>
    <t xml:space="preserve">S$4B ($3.1B)</t>
  </si>
  <si>
    <t xml:space="preserve">Singapore’s Research, Innovation and Enterprise 2020 (RIE2020) plan committed S$19 billion (2016–2020) across national R&amp;D priorities, with a significant portion directed to Advanced Manufacturing and Engineering (AME) — the domain encompassing semiconductor research and industry partnerships; funding supported semiconductor process innovation, materials R&amp;D, packaging, and equipment engineering through A*STAR’s Institute of Microelectronics (IME) and the Advanced Remanufacturing and Technology Centre (ARTC); targeted next-generation chip technologies such as 3D integration, heterogeneous packaging, silicon photonics, and compound semiconductors; emphasized translational research and partnerships with global firms like Micron, GlobalFoundries, and Applied Materials to strengthen Singapore’s position as a leading semiconductor manufacturing and R&amp;D hub; laid the foundation for semiconductor-focused programs later expanded under RIE2025</t>
  </si>
  <si>
    <t xml:space="preserve">https://grow.singlife.com/content/dam/singlife-elevate/insights/thematic-report/edition-06/thematic_report_edition_06_20250516.pdf</t>
  </si>
  <si>
    <t xml:space="preserve">Electronics Industry Transformation Map (ITM)</t>
  </si>
  <si>
    <t xml:space="preserve">2017-2020</t>
  </si>
  <si>
    <t xml:space="preserve">Fabrication; R&amp;D; Workforce Development</t>
  </si>
  <si>
    <t xml:space="preserve">The Electronics ITM targeted semiconductors by upgrading Singapore’s wafer fab and component manufacturing base toward high-value, advanced manufacturing, supported by JTC nanoSpace facilities and incentives from the EDB to attract investment. It also promoted R&amp;D collaboration and workforce reskilling through programs like PACT, Startup SG Accelerator, and new Professional Conversion Programmes to strengthen the semiconductor talent pipeline</t>
  </si>
  <si>
    <t xml:space="preserve">https://www.mti.gov.sg/-/media/MTI/ITM/Manufacturing/Electronics/Electronics-ITM-Media-Release.pdf</t>
  </si>
  <si>
    <t xml:space="preserve">Expansion of Electronics Industry Transformation Map</t>
  </si>
  <si>
    <t xml:space="preserve">2022-2030</t>
  </si>
  <si>
    <t xml:space="preserve">Singapore’s Electronics Industry Transformation Map (ITM) was expanded in October 2022 as part of the refreshed Manufacturing 2030 vision; update built upon the 2017 ITM to sustain competitiveness and strengthen Singapore’s position as a global hub for advanced semiconductor and electronics manufacturing; emphasized next-generation semiconductors, smart manufacturing, and sustainability; aimed to attract higher-value investments, deepen local capabilities, and create 13,400 new manufacturing jobs by 2025; supported digitalization and automation initiatives through PACT, A*STAR’s Tech Access, and the Smart Industry Readiness Index; aligned with RIE2025 and EDB’s advanced manufacturing strategies to expand wafer fabrication, assembly, testing, and equipment engineering segments; also prioritized workforce reskilling under the Skills Framework for Electronics and stronger partnerships between MNCs, SMEs, and government agencies to accelerate innovation and supply-chain resilience</t>
  </si>
  <si>
    <t xml:space="preserve">https://www.mti.gov.sg/-/media/MTI/ITM/Manufacturing/Electronics/Electronics-ITM-2025.pdf</t>
  </si>
  <si>
    <t xml:space="preserve">Singapore Industry Scholarships (SgIS)</t>
  </si>
  <si>
    <t xml:space="preserve">2012-Indefinitely</t>
  </si>
  <si>
    <t xml:space="preserve">Workforce Development</t>
  </si>
  <si>
    <t xml:space="preserve">government-industry scholarship initiative launched in 2012 to build a domestic pipeline of talent for key national industries including semiconductors, advanced manufacturing, and electronics; jointly funded by the Public Service Division and over 70 sponsoring organisations such as Micron, GlobalFoundries, STMicroelectronics, Infineon, and Applied Materials; offers full tuition and living allowances for local undergraduate studies with bond periods of 3–6 years depending on award type; around 200 scholars awarded annually, with &gt;2,000 total recipients since inception; supports Singapore’s Semiconductor Talent Development Plan by integrating students into internships and R&amp;D placements within sponsoring firms; designed to ensure local talent supply keeps pace with wafer-fab and equipment expansion under RIE2025 and the Electronics ITM</t>
  </si>
  <si>
    <t xml:space="preserve">https://www.moe.gov.sg/sgis</t>
  </si>
  <si>
    <t xml:space="preserve">Industry Postgraduate Program</t>
  </si>
  <si>
    <t xml:space="preserve">2011-Indefinitely</t>
  </si>
  <si>
    <t xml:space="preserve">Workforce Development; R&amp;D</t>
  </si>
  <si>
    <t xml:space="preserve">PhD-level scholarship program co-funded by A*STAR, Nanyang Technological University (NTU), National University of Singapore (NUS), and Singapore University of Technology and Design (SUTD); targets top international researchers pursuing advanced degrees in semiconductor physics, nanofabrication, materials science, AI chips, and photonics; provides full tuition, a monthly stipend of S$2,200–S$2,700, and additional conference/travel support for up to 4 years; hosts &gt;900 active scholars from over 40 countries annually; key source of global R&amp;D manpower for A*STAR’s Institute of Microelectronics (IME) and semiconductor research labs under RIE2025; strengthens Singapore’s semiconductor innovation ecosystem by anchoring international PhD talent in applied research</t>
  </si>
  <si>
    <t xml:space="preserve">https://www.ntu.edu.sg/graduate-college/admissions/programme/industrial-postgraduate-programme-(ipp)</t>
  </si>
  <si>
    <t xml:space="preserve">Budget 2024</t>
  </si>
  <si>
    <t xml:space="preserve">2025-Indefinitely</t>
  </si>
  <si>
    <t xml:space="preserve">S$1.5B; 50% tax support</t>
  </si>
  <si>
    <t xml:space="preserve">Singapore’s Refundable Investment Credit (RIC) introduced in Budget 2024 to boost high-value investments in sectors like advanced manufacturing, semiconductors, digital services and innovation; qualifying activities include setting up new manufacturing plants, expanding head-quarters/centres of excellence, R&amp;D &amp; innovation, and supply-chain functions; credits awarded on qualifying expenditure (capital, manpower, training, intangible assets, logistics) up to 50% of each category; each award spans up to 10 years, with unused credits refundable in cash within 4 years; applies to projects approved by Economic Development Board (EDB) or Enterprise Singapore (EnterpriseSG); scheme designed to complement Singapore’s broader semiconductor and advanced-manufacturing agenda, strengthen global competitiveness under the ERA of Budget 2024 and align with OECD Pillar 2 minimum tax rules</t>
  </si>
  <si>
    <t xml:space="preserve">https://www.iras.gov.sg/schemes/disbursement-schemes/refundable-investment-credit-(ric)l https://investmentpolicy.unctad.org/investment-policy-monitor/measures/4582/singapore-introduced-a-new-refundable-investment-credit-ric-to-promote-fdi#:~:text=On%2016%20February%202024%2C%20the,the%20corporate%20income%20tax%20payable.</t>
  </si>
  <si>
    <t xml:space="preserve">Budget 2023</t>
  </si>
  <si>
    <t xml:space="preserve">2024-2028</t>
  </si>
  <si>
    <t xml:space="preserve">Budget 2023 Enterprise Innovation Scheme applies to all industries incl. semiconductors; grants 400% tax deduction/allowance on the first S$400,000 of qualifying spend per activity per YA (YA 2024–YA 2028) covering R&amp;D done in Singapore, IP registration, IP acquisition/licensing, eligible training, and innovation projects with polytechnics/ITE; semiconductor firms can use it for process/device R&amp;D (Section 14D), chip/IP filings, licensing EDA/IP blocks, and workforce upskilling; option to convert up to S$100,000 of total qualifying EIS spend into a cash payout at 20% (cap S$20,000 per YA)—useful for fabless/startups with low taxable income; base and enhanced R&amp;D deductions extended to YA 2028 under EIS; not a plant-capex subsidy (pair with RIC/Budget 2024 for fab expansions</t>
  </si>
  <si>
    <t xml:space="preserve">https://www.iras.gov.sg/schemes/disbursement-schemes/enterprise-innovation-scheme-(eis)</t>
  </si>
  <si>
    <t xml:space="preserve">National Semiconductor Strategy (Malaysia)</t>
  </si>
  <si>
    <t xml:space="preserve">2024-2034</t>
  </si>
  <si>
    <t xml:space="preserve">Malaysia</t>
  </si>
  <si>
    <t xml:space="preserve">RM$25B ($5.2B)</t>
  </si>
  <si>
    <t xml:space="preserve">APT; WFE; Fabrication</t>
  </si>
  <si>
    <t xml:space="preserve">Launched May 28 2024, the NSS is a three-phase, 10-year roadmap for Malaysia’s semiconductor industry; targets include attracting at least RM 500 billion (~US$106 billion) in semiconductor investments in Phase 1, establishing at least 10 Malaysian companies in design/advanced packaging with revenues of RM 1 billion+ and training 60,000 high-skilled engineers by 2030; backed by RM 25 billion (~US$5.3 billion) in fiscal support and incentives; phase 1 focuses on modernising Malaysia’s OSAT (assembly, packaging &amp; test) capabilities and developing local IC-design and equipment-manufacturing firms; phase 2 and 3 move into high-end logic/memory fabrication and integrated manufacturing ecosystems; aims to shift Malaysia up the value chain from outsourced semiconductor assembly towards design, advanced packaging, niche manufacturing and equipment supply-chain roles</t>
  </si>
  <si>
    <t xml:space="preserve">https://crest.my/wp-content/uploads/FINAL_NSS_141024_2_compressed.pdf?</t>
  </si>
  <si>
    <t xml:space="preserve">Advanced Packaging Programme and Technology Center</t>
  </si>
  <si>
    <t xml:space="preserve">2025-2035</t>
  </si>
  <si>
    <t xml:space="preserve">RM$0.8B ($166M)</t>
  </si>
  <si>
    <t xml:space="preserve">APT</t>
  </si>
  <si>
    <t xml:space="preserve">Advanced Packaging Programme &amp; Technology Centre; under the NSS the Malaysian government plans to establish a dedicated Technology Centre and programme focused on advanced semiconductor packaging and integration; aims to expand Malaysia’s OSAT (outsourced assembly &amp; test) strength into higher-value packaging like 2.5D/3D, Fan-Out, heterogeneous integration; enable collaboration between industry, academia and government; complements Malaysia’s push up the value chain from backend to advanced manufacturing and packaging</t>
  </si>
  <si>
    <t xml:space="preserve">MYChipStart Programme</t>
  </si>
  <si>
    <t xml:space="preserve">2025-2029</t>
  </si>
  <si>
    <t xml:space="preserve">RM$1B</t>
  </si>
  <si>
    <t xml:space="preserve">MyChipStart Programme; part of the NSS, MyChipStart is designed to accelerate local IC-design companies and scale domestic design-and-development (D&amp;D) firms into global champions; targets include supporting over 100 local companies with revenue = RM1 billion and establishing 10 local firms each earning RM1–4.7 billion (~US$210 million–1 billion) by end of decade; initial funding and support estimated at RM1 billion for years 2025-29; emphasises IP-creation, R&amp;D partnerships, talent development and ecosystem linkage with design houses, foundries and packaging firms</t>
  </si>
  <si>
    <t xml:space="preserve">Semiconductor Industrial Park</t>
  </si>
  <si>
    <t xml:space="preserve">RM$2B</t>
  </si>
  <si>
    <t xml:space="preserve">Fabrication; R&amp;D; Talent Development</t>
  </si>
  <si>
    <t xml:space="preserve">Malaysia plans to establish a dedicated “IC Design Park” and advanced semiconductor industrial zone targeting front-end design, advanced packaging, and equipment manufacturing; the park is part of the NSS roadmap and aims to host anchor tenants, provide subsidised infrastructure, tax incentives, and strategic investment zones; announced in April 2024 that Malaysia will build Southeast Asia’s largest IC design park in Kuala Lumpur with incentives such as tax breaks, subsidised office space and visa exemptions</t>
  </si>
  <si>
    <t xml:space="preserve">Government Support for Institutions that Support the Semiconductor Industry</t>
  </si>
  <si>
    <t xml:space="preserve">4</t>
  </si>
  <si>
    <t xml:space="preserve">2025-2034</t>
  </si>
  <si>
    <t xml:space="preserve">RM$0.3B</t>
  </si>
  <si>
    <t xml:space="preserve">Support for the largest semiconductor institutions operations such as MIMOS (Malaysian Institute of Microelectronic Systems) and CREST (Malaysian Institute of Microelectronic Systems)</t>
  </si>
  <si>
    <t xml:space="preserve">chttps://crest.my/wp-content/uploads/FINAL_NSS_141024_2_compressed.pdf?</t>
  </si>
  <si>
    <t xml:space="preserve">Collaborative R&amp;D Project</t>
  </si>
  <si>
    <t xml:space="preserve">5</t>
  </si>
  <si>
    <t xml:space="preserve">RM$2.7B</t>
  </si>
  <si>
    <t xml:space="preserve">Fund joint research between local universities and global chip firms; focus on advanced packaging, materials, equipment, and IC design IP</t>
  </si>
  <si>
    <t xml:space="preserve">Capital Grants</t>
  </si>
  <si>
    <t xml:space="preserve">6</t>
  </si>
  <si>
    <t xml:space="preserve">2023-2038</t>
  </si>
  <si>
    <t xml:space="preserve">RM$10B</t>
  </si>
  <si>
    <t xml:space="preserve">Design; Fabrication; APT; WFE; Materials</t>
  </si>
  <si>
    <t xml:space="preserve">Grant program for semiconductor businesses; includes existing grants that had already been announced before publishing of NSS in 2024</t>
  </si>
  <si>
    <t xml:space="preserve">Human Resources Development Fund (HRDF) for the Semiconductor Sector</t>
  </si>
  <si>
    <t xml:space="preserve">7</t>
  </si>
  <si>
    <t xml:space="preserve">2025-2030</t>
  </si>
  <si>
    <t xml:space="preserve">RM$1.25B</t>
  </si>
  <si>
    <t xml:space="preserve">Talent Development</t>
  </si>
  <si>
    <t xml:space="preserve">under the NSS, Malaysia establishes a dedicated HRDF allocation estimated at RM1.25 billion to develop talent and skills for the semiconductor industry; the fund supports training, up-skilling, certification, apprenticeship and career-pathway programmes in areas such as chip design, advanced packaging, test/assembly, equipment servicing, and materials; the initiative is anchored in the IndSF Semiconductor framework and targets creation of 60,000 high-skilled engineers and technicians by 2030 as part of NSS pillar for human resources</t>
  </si>
  <si>
    <t xml:space="preserve">High Impact Fund for Semiconductors (MNCs)</t>
  </si>
  <si>
    <t xml:space="preserve">8</t>
  </si>
  <si>
    <t xml:space="preserve">2026-2030</t>
  </si>
  <si>
    <t xml:space="preserve">Multinational Corporations</t>
  </si>
  <si>
    <t xml:space="preserve">launched under Phase 1 of Malaysia’s National Semiconductor Strategy (NSS); targets multinational corporations (MNCs) investing in advanced semiconductor manufacturing, R&amp;D, and packaging; capitalised at RM 1 billion (~US $212 million) to attract and co-fund strategic projects with significant technology transfer and ecosystem impact; supports new or expanded front-end fabs, advanced packaging lines, and R&amp;D centres that generate spillovers into local supply chains and workforce training;</t>
  </si>
  <si>
    <t xml:space="preserve">Domestic Strategic Investment fund for Semiconductors (Locally-owned companies only)</t>
  </si>
  <si>
    <t xml:space="preserve">9</t>
  </si>
  <si>
    <t xml:space="preserve">Domestic Malaysian Semiconductor Businesses</t>
  </si>
  <si>
    <t xml:space="preserve">The NSS designates a Domestic Strategic Investment Fund earmarked at RM1 billion (for locally-owned semiconductor firms) to provide grants/co-investment and tax-foregone incentives exclusively for Malaysian-owned companies in design, packaging/test, niche manufacturing and equipment sub-segments; aims to build up Malaysian “national champion” firms, with goal of developing 10 local firms each reaching &gt;US$1 billion in revenue by end of decade</t>
  </si>
  <si>
    <t xml:space="preserve">Silicon Vision</t>
  </si>
  <si>
    <t xml:space="preserve">national initiative to transform the country’s semiconductor industry into a full-cycle ecosystem from IC design through manufacturing; it includes a strategic partnership with Arm Holdings, under which Malaysia commits to accessing Arm IP and training 10,000 semiconductor talents; the government will invest about RM 1.11 billion (~US$250 million) over 10 years as part of the programme; it targets establishment of 10 local design houses and generation of up to US$20 billion revenue from these entities; aims to shift Malaysia’s semiconductor emphasis from low-value assembly and testing to high-value front-end design, SoC development, advanced packaging and manufacture of AI- and cloud-centric chips</t>
  </si>
  <si>
    <t xml:space="preserve">https://siliconvision.ekonomi.gov.my/document/silicon-vision-may2025-v2.pdf</t>
  </si>
  <si>
    <t xml:space="preserve">New Industrial Master Plan (NIMP) 2030</t>
  </si>
  <si>
    <t xml:space="preserve">Strategic Plan; Tax Incentive</t>
  </si>
  <si>
    <t xml:space="preserve">linked to the National Semiconductor Strategy; features tiered investment tax incentives — Tier 1: 100 % tax deduction on capital expenditure (CapEx) for 5 years, offset against 100 % of statutory income; Tier 2: 60 % on CapEx, offset against 70 % of income; aims to boost advanced packaging, design, and E&amp;E equipment manufacturing; emphasises workforce transformation, R&amp;D collaboration, automation, ESG adoption, and digitalisation across high-value industries; complements NSS through shared infrastructure and advanced manufacturing clusters.</t>
  </si>
  <si>
    <t xml:space="preserve">https://www.mida.gov.my/wp-content/uploads/2025/03/13032025-Guideline-for-Reinvestment-NIMP.pdf</t>
  </si>
  <si>
    <t xml:space="preserve">Co-Investment Fund</t>
  </si>
  <si>
    <t xml:space="preserve">Equity Investment; Loan</t>
  </si>
  <si>
    <t xml:space="preserve">RM$600M</t>
  </si>
  <si>
    <t xml:space="preserve">Small-to-mid sized Malaysian Manufacturing Businesses</t>
  </si>
  <si>
    <t xml:space="preserve">within the NIMP 2030 framework, the Strategic Co-Investment Fund (CoSIF) is capitalised at RM 600 million (~US $131.5 million) to co-finance high-value manufacturing and industrial upgrading projects in sectors including semiconductors, advanced electronics, and green manufacturing; operates on a 1:5 public-private leverage model, targeting private investment mobilisation of RM 3 billion+; supports R&amp;D, automation, workforce training, and ESG transition within strategic industries; complements the NIMP Industrial Development Fund (NIDF) and the National Semiconductor Strategy (NSS) by providing co-investment capital rather than tax-based incentives.</t>
  </si>
  <si>
    <t xml:space="preserve">https://www.sc.com.my/resources/media/media-release/rm131-million-fund-launched-to-support-smes-and-mid-tier-companies-in-strategic-nimp-sectors#:~:text=and%20related%20Speeches-,RM131%2DMillion%20Fund%20Launched%20to%20Support%20SMEs%20and%20Mid%2DTier,(MTCs)%20in%20strategic%20sectors.</t>
  </si>
  <si>
    <t xml:space="preserve">Promotions of Investments Act (PIA)</t>
  </si>
  <si>
    <t xml:space="preserve">1986-Indefinitely</t>
  </si>
  <si>
    <t xml:space="preserve">Design; WFE; Logic</t>
  </si>
  <si>
    <t xml:space="preserve">Allows for 70% income tax exemption for 5 years; 100% project tax exemption; indefinite carried forward losses, all of these incentives for businesses that are deemed to have "Pioneer" status, meaning that they contribute to Malaysia's technological and economic growth</t>
  </si>
  <si>
    <t xml:space="preserve">https://ccs-co.com/post/pioneer-status-tax-incentives-in-malaysia/#:~:text=Malaysia%20offers%20Pioneer%20Status%20(PS,Status%20tax%20incentives%20in%20Malaysia:</t>
  </si>
  <si>
    <t xml:space="preserve">BOI Investment Promotion Strategy</t>
  </si>
  <si>
    <t xml:space="preserve">BOI Semiconductor Incentives</t>
  </si>
  <si>
    <t xml:space="preserve">2022-2035</t>
  </si>
  <si>
    <t xml:space="preserve">Thailand</t>
  </si>
  <si>
    <t xml:space="preserve">Fabrication; APT;  R&amp;D</t>
  </si>
  <si>
    <t xml:space="preserve">the BOI offers specialised incentives for semiconductor manufacturing and activities: front-end wafer fabrication projects qualify for up to 10-year corporate tax holiday; back-end activities (wafer sort, assembly, testing) with machinery investment of at least THB 1.5 billion (~US$42 million) qualify for 8-year tax holiday, or 5 years for investment below that threshold; R&amp;D and HRD-intensive projects (= THB 200 million or = 1% of sales in first 3 years) may receive longer tax exemptions (up to 13 years if R&amp;D investment increasing) with no corporate income tax ceiling; to qualify, firms must commit to advanced manufacturing, smart electronics or semiconductor ecosystem activities in Thailand</t>
  </si>
  <si>
    <t xml:space="preserve">https://www.semi.org/sites/semi.org/files/2021-10/Thailands-New-Semiconductor-Incentives-Timed-to-Support-Rising-E%26E-Investment-BOI-Says.pdf?utm_source=semi&amp;utm_medium=email&amp;utm_campaign=SA-NL-20211027-SEA+Connect&amp;mkt_tok=MzIwLVFCQi0wNTUAAAGAY5krU1iPn6cOmpGUoPVLqio3VE2xpShjn_0GIqKptrysFlXHsa5e63_588BjUX5wQklFAWSk6wEw3f5dOh9be_jnNSZ5Kgcv58MyOCRX#:~:text=Thailand%20offers%20a%20large%20pool,period%20available%20is%2013%20years.</t>
  </si>
  <si>
    <t xml:space="preserve">Thailand 4.0</t>
  </si>
  <si>
    <t xml:space="preserve">2015-2030</t>
  </si>
  <si>
    <t xml:space="preserve">THB 340B</t>
  </si>
  <si>
    <t xml:space="preserve">Electronics</t>
  </si>
  <si>
    <t xml:space="preserve">focuses on five “First S-Curve” industries; next-generation automotive, smart electronics (including semiconductors), affluent medical tourism, agriculture &amp; biotech, and food innovation; and five “New S-Curve” sectors including robotics, aviation, bio-fuels, digital, and medical devices; emphasises R&amp;D, automation, and digital infrastructure while promoting Industry 4.0 standards; supported by BOI incentive frameworks (up to 13-year corporate-tax holidays, duty exemptions, 99-year land leases, and 100 % foreign-ownership rights); implemented geographically through the Eastern Economic Corridor (EEC) as its flagship zone; the initial investment envelope of ˜ THB1.5 trillion (US $43 billion) over 5 years covers EEC and related Thailand 4.0 projects</t>
  </si>
  <si>
    <t xml:space="preserve">https://www.aseanbriefing.com/news/thailand-eastern-economic-corridor/</t>
  </si>
  <si>
    <t xml:space="preserve">Eastern Economic Corridor</t>
  </si>
  <si>
    <t xml:space="preserve">Establishes Special Economic Promotion Zones, with businesses in them eligible for visa eligibility for foreign workers; exemption or reduction from taxes for businesses; use of foreign currencies for payments; 1.7T total with government to commit 340B</t>
  </si>
  <si>
    <t xml:space="preserve">https://www.lawplusltd.com/wp-content/uploads/kalins-pdf/singles/eastern-economic-corridor-act-b-e-2561-thailand.pdf?; https://incentives.eeco.or.th/en/benefit</t>
  </si>
  <si>
    <t xml:space="preserve">Industry 4.0 Add-On</t>
  </si>
  <si>
    <t xml:space="preserve">Flagship special-economic-development zone established under the EEC Act B.E. 2561 (2018) as the main implementation vehicle of Thailand 4.0; spans the provinces of Chonburi, Rayong, and Chachoengsao; designed to attract high-tech investment in semiconductors, smart electronics, EV supply chains, robotics, aviation &amp; logistics, and digital industries; targets ˜ ?1.5 trillion (US $43 billion) in total public-private investment (infrastructure, industrial parks, R&amp;D centres) over five years; provides enhanced BOI and EEC Office incentives — up to 13-year CIT exemptions, import-duty waivers, 100 % foreign-ownership, visa/work-permit fast-tracks, and 99-year land lease</t>
  </si>
  <si>
    <t xml:space="preserve">https://www.boi.go.th/index.php?page=press_releases_detail&amp;topic_id=129511</t>
  </si>
  <si>
    <t xml:space="preserve">BOI 5-Year Investment Strategy</t>
  </si>
  <si>
    <t xml:space="preserve">10-year CIT exemption (wafer fab); 8-year CIT exemption (IC design); ≥ THB 1.5 b machinery threshold; 5-year 50 % CIT reduction post-holiday; 3-year 50 % CIT upgrade measure; 100 % import-duty exemption (machinery); 100 % import-duty exemption (raw materials export); 200 % training deduction HRD; 250 % training deduction STEM; 13-year CIT cap for R&amp;D &gt;1 % sales or &gt; 200 m baht; A1–A4 CIT tiers (3–13 years); R&amp;D merit extension +3 yrs; EEC uplift incentives 50 % CIT bonus</t>
  </si>
  <si>
    <t xml:space="preserve">https://osos.boi.go.th/download/BOI_PDF/BOI_A_Guide_2023_EN.pdf?</t>
  </si>
  <si>
    <t xml:space="preserve">Thailand Plus Package</t>
  </si>
  <si>
    <t xml:space="preserve">High-Tech Workforce Development Program</t>
  </si>
  <si>
    <t xml:space="preserve">Tax Incentive; Strategic Plan</t>
  </si>
  <si>
    <t xml:space="preserve">fiscal measure introduced by the Board of Investment (BOI) to strengthen Thailand’s high-tech workforce and attract advanced industries including semiconductors, smart electronics, robotics, and digital manufacturing; allows 250% corporate income tax deductions on qualifying wage and training expenses for employers hiring STEM-skilled workers or sponsoring employees through certified upskilling programs; extended by Cabinet resolution (March 2023) for the period 1 January 2023 – 31 December 2025; as of 2023, over 3,700 STEM positions certified across 74 companies, with 600+ training courses offered through 58 accredited training centres; complements Thailand 4.0 and BOI’s broader investment promotion strategy by developing local talent pipelines critical to semiconductor and digital industry competitiveness</t>
  </si>
  <si>
    <t xml:space="preserve">https://www.reuters.com/markets/asia/thailand-targets-280000-workforce-high-tech-sectors-over-5-years-2024-06-17/</t>
  </si>
  <si>
    <t xml:space="preserve">2019-2026</t>
  </si>
  <si>
    <t xml:space="preserve">Eligible companies can claim a CIT exemption equal to 50% of salary expenses paid to qualifying high-skilled STEM employees; also a 150% CIT reduction on qualifying STEM-related training expenses incurred during the same period</t>
  </si>
  <si>
    <t xml:space="preserve">https://www.bdo.th/en-gb/insights/thailand%E2%80%99s-tax-incentives-for-stem-talent-a-strategic-opportunity-for-businesses-in-target-industri#:~:text=for%20STEM%20Talent-,Thailand's%20Tax%20Incentives%20for%20STEM%20Talent:%20A%20Strategic%20Opportunity%20for,under%20Thailand's%20Competitiveness%20Enhancement%20Act.</t>
  </si>
  <si>
    <t xml:space="preserve">National Semiconductor Board</t>
  </si>
  <si>
    <t xml:space="preserve">2024-Indefinitely</t>
  </si>
  <si>
    <t xml:space="preserve">Design; Fabrication</t>
  </si>
  <si>
    <t xml:space="preserve">Policy committee established by the Thailand Board of Investment (BOI) in October 2024 under the umbrella of Thailand 4.0 to oversee the development of the semiconductor and advanced-electronics ecosystem; mandates include formulating a national semiconductor strategy framework, coordinating workforce-development and R&amp;D initiatives, removing regulatory bottlenecks, and preparing Thailand to attract ~?500 billion (~US $14 billion) in semiconductor investments; will act as central governance body linking government, industry and academia and accelerate large-scale projects in smart-electronics manufacturing, packaging/test, and advanced components</t>
  </si>
  <si>
    <t xml:space="preserve">https://fulcrum.sg/thailands-new-semiconductor-strategy-ambitious-but-challenging/#:~:text=On%2025%20October%202024%2C%20the,chip%20design%20and%20wafer%20fabrication).</t>
  </si>
  <si>
    <t xml:space="preserve">Draft framework to position Thailand in chip design and legacy fabrication; re-proposed under new Semiconductor &amp; Advanced Electronics Policy Board.</t>
  </si>
  <si>
    <t xml:space="preserve">Thai Enterprise Competitiveness Enhancement Measures for the New Global Era</t>
  </si>
  <si>
    <t xml:space="preserve">fiscal &amp; investment incentive package introduced by the Thailand Board of Investment (BOI) in July 2025 to strengthen Thai enterprises and supply-chains in response to global trade tensions; allows upgraded tax exemptions for SMEs (5-year corporate income tax holiday capped at 100% of investment in productivity enhancements, up from 3-years at 50% previously) and extends local-content reward incentives in sectors like EVs and electronics (additional 2 years of 50% tax deduction for companies meeting Made-in-Thailand obligations); introduces stricter scrutiny of sensitive sectors (electronics, light industry, parts manufacturing) to prevent export-circumvention and strengthen origin rules; ties into the Thailand 4.0 strategy by focusing on smart electronics and semiconductor value-chain upgrading</t>
  </si>
  <si>
    <t xml:space="preserve">https://www.nationthailand.com/business/investment/40052516</t>
  </si>
  <si>
    <t xml:space="preserve">CHIPS National Advanced Packaging Manufacturing Program</t>
  </si>
  <si>
    <t xml:space="preserve">$3B</t>
  </si>
  <si>
    <t xml:space="preserve">APT; R&amp;D</t>
  </si>
  <si>
    <t xml:space="preserve">established under the U.S. CHIPS and Science Act of 2022, administered by the Department of Commerce / NIST to strengthen domestic capacity for advanced semiconductor packaging, heterogeneous integration, and 3D assembly; allocated $3 billion from the CHIPS R&amp;D funding pool; supports creation of a National Advanced Packaging Manufacturing Facility and a network of pilot lines for 2.5D/3D integration, FOWLP, chiplets, and interposer technologies; program priorities include developing standards, materials, and design automation tools for chiplet-based architectures; provides grants and cost-sharing to private-sector consortia, universities, and national labs for prototyping and scale-up; operates under the CHIPS R&amp;D Office alongside the NSTC (National Semiconductor Technology Center) and Manufacturing USA institutes, forming part of the U.S. R&amp;D infrastructure to reduce reliance on offshore packaging</t>
  </si>
  <si>
    <t xml:space="preserve">https://www.nist.gov/news-events/news/2023/11/chips-america-releases-vision-approximately-3-billion-national-advanced?</t>
  </si>
  <si>
    <t xml:space="preserve">National Semiconductor Technology Center (NSTC)</t>
  </si>
  <si>
    <t xml:space="preserve">$6.3B</t>
  </si>
  <si>
    <t xml:space="preserve">cornerstone R&amp;D initiative under the U.S. CHIPS and Science Act of 2022, administered by the Department of Commerce and NIST; allocated $6.3 billion to create a public-private consortium that will serve as the national hub for semiconductor R&amp;D, prototyping, design tools, and workforce training; aims to accelerate development of next-generation process technologies (2 nm and below), advanced packaging, materials, and chiplet integration; operates through a network of core facilities, regional innovation hubs, and university partnerships; provides shared cleanroom and metrology infrastructure to lower barriers for U.S. startups and research institutions; coordinates closely with the National Advanced Packaging Manufacturing Program (NAPMP) and the Manufacturing USA Institutes</t>
  </si>
  <si>
    <t xml:space="preserve">https://www.theregister.com/2024/02/12/us_chips_act_funding/?; https://natcast.org/doc-finalizes-long-term-partnership-with-natcast-to-operate-the-nstc?</t>
  </si>
  <si>
    <t xml:space="preserve">CHIPS Metrology Program</t>
  </si>
  <si>
    <t xml:space="preserve">$519M</t>
  </si>
  <si>
    <t xml:space="preserve">specialized R&amp;D initiative under the U.S. CHIPS and Science Act of 2022; has already deployed $100m+; administered by the National Institute of Standards and Technology (NIST); allocated $519 million to advance measurement science, process-control technologies, and standards critical to next-generation semiconductor manufacturing; supports development of metrology tools, calibration methods, and atomic-scale characterization for sub-5 nm process nodes, 3D integration, and advanced packaging; aims to improve yield, reliability, and quality assurance across the U.S. semiconductor ecosystem; funds Metrology Research Centers, university consortia, and industry collaborations focused on AI-driven defect detection, in-situ monitoring, and materials metrology</t>
  </si>
  <si>
    <t xml:space="preserve">https://www.nist.gov/news-events/news/2024/05/jarvis-leaderboard-large-scale-benchmark-materials-design-methods?utm_source</t>
  </si>
  <si>
    <t xml:space="preserve">CHIPS Manufacturing USA Institute</t>
  </si>
  <si>
    <t xml:space="preserve">$285M</t>
  </si>
  <si>
    <t xml:space="preserve">stablished under the U.S. CHIPS and Science Act of 2022 as one of the four CHIPS R&amp;D pillars alongside the NSTC, NAPMP, and Metrology Program; administered by the Department of Commerce and NIST to strengthen domestic semiconductor manufacturing innovation and workforce readiness; allocated $285 million to create a new Manufacturing USA Institute dedicated to advancing smart manufacturing, automation, AI-driven process optimization, and equipment integration for semiconductor production; provides shared testbeds, pilot lines, and workforce-training programs to bridge the gap between R&amp;D and commercial manufacturing; focuses on improving yield, sustainability, and supply-chain resilience through collaborative research among industry, academia, and national labs</t>
  </si>
  <si>
    <t xml:space="preserve">https://www.nist.gov/news-events/news/2024/11/chips-america-announces-new-proposed-285-million-award-chips-manufacturing?</t>
  </si>
  <si>
    <t xml:space="preserve">Oregon CHIPS Fund</t>
  </si>
  <si>
    <t xml:space="preserve">$240M</t>
  </si>
  <si>
    <t xml:space="preserve">Fabrication; R&amp;D; APT</t>
  </si>
  <si>
    <t xml:space="preserve">state-level investment and incentive program established under Oregon’s Senate Bill 4 in 2023 to support the expansion of semiconductor manufacturing, R&amp;D and workforce in Oregon; allocated up to US$240 million in grants and loans to semiconductor manufacturers and supply-chain firms applying for federal CHIPS Act funding</t>
  </si>
  <si>
    <t xml:space="preserve">https://www.oregon.gov/biz/programs/or_chips_fund/pages/default.aspx</t>
  </si>
  <si>
    <t xml:space="preserve">Guangdong Semiconductor and Integrated Circuit Industry Equity Investment Fund</t>
  </si>
  <si>
    <t xml:space="preserve">Phase I</t>
  </si>
  <si>
    <t xml:space="preserve">2020-2023</t>
  </si>
  <si>
    <t xml:space="preserve">10B Yuan ($1.41B)</t>
  </si>
  <si>
    <t xml:space="preserve">equity investment fund launched in Guangdong Province in December 2020 to support semiconductor/IC industry development; committed scale roughly ¥10 billion (~US$1.41 billion) for the first phase targeting local chip firms, materials, packaging and equipment; focused on building foundational capacity at nodes like 55 nm and scaling local pilot plants; part of China’s regional push aligned with national semiconductor goals</t>
  </si>
  <si>
    <t xml:space="preserve">https://www.tomshardware.com/tech-industry/manufacturing/chinese-province-sets-up-dollar15-billion-chip-fund-to-boost-local-semiconductor-industry?</t>
  </si>
  <si>
    <t xml:space="preserve">Phase II</t>
  </si>
  <si>
    <t xml:space="preserve">2023-2026</t>
  </si>
  <si>
    <t xml:space="preserve">11B Yuan ($1.5B USD)</t>
  </si>
  <si>
    <t xml:space="preserve">second phase of the fund announced 2023/2024 by Guangdong Yuecai Holdings and local governments, scaled at roughly ¥11 billion (~US$1.5 billion) to further invest in advanced IC manufacturing, local supply chain firms, packaging/test, equipment ecosystem and provincial clusters; highlights the Guangdong government’s continued commitment to semiconductor self-reliance and regional specialisation in the Greater Bay Area</t>
  </si>
  <si>
    <t xml:space="preserve">Shenzhen Semiconductor &amp; IC Investment Fund</t>
  </si>
  <si>
    <t xml:space="preserve">5B Yuan ($600M USD)</t>
  </si>
  <si>
    <t xml:space="preserve">WFE; Design; Logic</t>
  </si>
  <si>
    <t xml:space="preserve">municipal-level investment fund established April 29 2025 in Shenzhen, Guangdong Province; initial contributed capital ¥3.6 billion (~US $520 million), total scale announced at ¥5 billion (~US $694 million); managed by Shenzhen Capital Group and Shenzhen Major Industry Investment Capital as general partners; targets key semiconductor and IC projects in Shenzhen’s supply-chain ecosystem including device manufacturing, packaging/testing, equipment and materials; aims to strengthen local semiconductor industry self-reliance under China’s national policy for advanced manufacturing; part of a broader municipal push where 38 IC-related funds already exceeded ¥100 billion combined</t>
  </si>
  <si>
    <t xml:space="preserve">https://finance.eastmoney.com/a/202510173536933033.html</t>
  </si>
  <si>
    <t xml:space="preserve">Shanghai Integrated Circuit Industry Fund</t>
  </si>
  <si>
    <t xml:space="preserve">28.5B Yuan ($4B USD)</t>
  </si>
  <si>
    <t xml:space="preserve">Fabrication; WFE; Materials; Design</t>
  </si>
  <si>
    <t xml:space="preserve">equity investment fund launched in 2016 by the Shanghai municipal government to support the local integrated-circuit value chain (design, manufacturing, packaging/test, equipment); initial registered capital approximately ¥28.5 billion (~US$4.4 billion); made investments in companies such as Semiconductor Manufacturing International Corporation (SMIC), Huali Microelectronics, Zhaoxin, and Unisoc; targeted building core IC manufacturing and ecosystem capabilities in the Yangtze Delta region</t>
  </si>
  <si>
    <t xml:space="preserve">https://startup.aliyun.com/info/1092847.html?</t>
  </si>
  <si>
    <t xml:space="preserve">2020-2024</t>
  </si>
  <si>
    <t xml:space="preserve">14.53B Yuan ($2B USD)</t>
  </si>
  <si>
    <t xml:space="preserve">follow-on expansion launched in 2020, later increased capital in 2024, with registered capital raised to ¥14.53 billion (~US$2.0 billion) by mid-2024; focused on further equity investments into upstream IC manufacturing, equipment materials, and local supply-chain firms; leveraged Phase I momentum to deepen ecosystem and accelerate advanced-node deployment</t>
  </si>
  <si>
    <t xml:space="preserve">Phase III</t>
  </si>
  <si>
    <t xml:space="preserve">530M Yuan (74.3M USD)</t>
  </si>
  <si>
    <t xml:space="preserve">egistered in March 2025 as a limited partnership under the Shanghai Integrated Circuit Industry Investment Fund Management Co., Ltd.; established with capital contribution of ¥530 million RMB (~US $73 million); executive partner is Shanghai Integrated Circuit Industry Investment Fund Management Co., Ltd., jointly funded by Shanghai State-owned Capital Investment Co., Ltd. and Shanghai IC Industry Fund Management Co</t>
  </si>
  <si>
    <t xml:space="preserve">Jiangsu Strategic Emerging Industry Mother Fund</t>
  </si>
  <si>
    <t xml:space="preserve">2025-2033</t>
  </si>
  <si>
    <t xml:space="preserve">50b Yuan ($7B USD)</t>
  </si>
  <si>
    <t xml:space="preserve">Provincial-level mother fund launched in June 2023 by the Jiangsu Provincial Government to accelerate investment in strategic emerging industries, including integrated circuits, biomedicine, new energy, aerospace, and intelligent manufacturing; initial fund scale of ¥50 billion RMB, managed by Jiangsu Strategic Emerging Industries Fund Co., Ltd.; structured as a “mother + sub-funds” model, with seven specialized funds in major industrial cities such as Suzhou, Wuxi, Xuzhou, Changzhou, and Yangzhou</t>
  </si>
  <si>
    <t xml:space="preserve">https://www.cls.cn/detail/1797798?</t>
  </si>
  <si>
    <t xml:space="preserve">Wuxi Integrated Circuit Mother Fund</t>
  </si>
  <si>
    <t xml:space="preserve">5b Yuan ($520M USD)</t>
  </si>
  <si>
    <t xml:space="preserve">WFE; Design; Photonics</t>
  </si>
  <si>
    <t xml:space="preserve">established in September 2024 under the framework of the Jiangsu Strategic Emerging Industry Mother Fund; total registered capital ¥5 billion RMB (~US $700 million); executive partner Wuxi Zhanxin Private Equity Fund Management Co., Ltd., jointly funded by Wuxi Xichuang Juli Equity Investment Partnership, Jiangsu Strategic Emerging Industries Fund Co., Ltd., Wuxi Industrial Development Group, and Wuxi Innovation Investment Group (Xichuangtou); provincial mother fund provides 25 %, Wuxi City contributes 75 % of capital; lifespan 15 years (8-year investment + 7-year exit); invests through sub-fund + direct investment in semiconductor equipment, materials, components, chip design, and third-generation semiconductors; aims to expand Wuxi’s integrated-circuit cluster</t>
  </si>
  <si>
    <t xml:space="preserve">Beijing Integrated Circuit Industry Investment Fund</t>
  </si>
  <si>
    <t xml:space="preserve">8.5b Yuan</t>
  </si>
  <si>
    <t xml:space="preserve">Logic</t>
  </si>
  <si>
    <t xml:space="preserve">municipal-level semiconductor investment vehicle established in August 2024 by the Beijing Municipal Government and operated through the Zhongguancun Development Group; registered capital ¥8.5 billion RMB (~US $1.2 billion); structured as an equity investment fund to accelerate the development of Beijing’s integrated circuit ecosystem, including chip design, manufacturing, packaging/testing, materials, and semiconductor equipment; complements China’s National Integrated Circuit Industry Investment Fund (“Big Fund”) by providing regional co-investment for Beijing-based projects and attracting both private and institutional investors; part of Beijing’s broader initiative to strengthen its role as a national semiconductor innovation hub, leveraging its existing strengths in design (e.g., Unisoc, Horizon Robotics) and research institutions within Zhongguancun Science Park</t>
  </si>
  <si>
    <t xml:space="preserve">https://www.silicon.co.uk/workspace/components/beijing-chip-fund-577777</t>
  </si>
  <si>
    <t xml:space="preserve">CHIPS Program Office</t>
  </si>
  <si>
    <t xml:space="preserve">$39B</t>
  </si>
  <si>
    <t xml:space="preserve">administrative body established under the U.S. CHIPS and Science Act of 2022 within the Department of Commerce to oversee and distribute $39 billion in direct semiconductor manufacturing incentives; responsible for evaluating, awarding, and monitoring grants, loans, and loan guarantees to companies building or expanding semiconductor fabrication, assembly, packaging, and materials facilities in the United States; prioritizes projects that strengthen domestic supply-chain resilience,</t>
  </si>
  <si>
    <t xml:space="preserve">Export Controls on Semiconductor Manufaturing Equipment</t>
  </si>
  <si>
    <t xml:space="preserve">apan added 23 categories of semiconductor tools to its export list, requiring licenses (notably advanced deposition/etch, immersion lithography). Policy alignment with U.S./EU aims to block transfer of advanced-node capabilities to China’s military-linked ecosystem</t>
  </si>
  <si>
    <t xml:space="preserve">https://www.hoganlovells.com/en/publications/japans-new-chip-equipment-export-rules-take-effect</t>
  </si>
  <si>
    <t xml:space="preserve">Restrictions Of Special Taxation Act (RSTA)</t>
  </si>
  <si>
    <t xml:space="preserve">15-25% Tax Credit; 30-50% R&amp;D Credit</t>
  </si>
  <si>
    <t xml:space="preserve">Fabrication; Design; APT; Equipment; Materials; R&amp;D</t>
  </si>
  <si>
    <t xml:space="preserve">Primary tax-incentive framework for Korea’s K-Semiconductor Strategy; provides corporate income tax deductions for both facility investment and R&amp;D related to national strategic technologies (including semiconductors, batteries, and vaccines); empowers the Ministry of Economy and Finance (MOEF) to adjust rates and eligible activities annually through the Enforcement Decree; following 2022 amendments, investments made between 2023–2029 in semiconductor manufacturing, design, and materials qualify for enhanced credits — up to 25% for SMEs, 15% for large firms, plus a 10 percentage-point bonus for incremental investment in 2023; R&amp;D credits also expanded to cover process technology, lithography, and advanced packaging; serves as the legal instrument through which the K-Semiconductor Strategy’s tax support measures are implemented.</t>
  </si>
  <si>
    <t xml:space="preserve">https://elaw.klri.re.kr/eng_service/lawView.do?hseq=43262&amp;lang=ENG&amp;</t>
  </si>
  <si>
    <t xml:space="preserve">Technology Development Promotion Act (TDPA)</t>
  </si>
  <si>
    <t xml:space="preserve">2021-Indefinitely</t>
  </si>
  <si>
    <t xml:space="preserve">R&amp;D; APT; Materials</t>
  </si>
  <si>
    <t xml:space="preserve">Framework law supporting national R&amp;D, technology transfer, and industry–university cooperation; establishes government authority to fund R&amp;D programs and industrial technology consortia in strategic sectors; used by MOTIE and NEDO-equivalent Korean agencies to channel research grants for semiconductor process, packaging, materials, and post-5G/6G technologies; complements RSTA by enabling direct government subsidies and collaborative R&amp;D projects instead of tax-based incentives; continuously amended to align with national technology roadmaps and post-5G innovation programs; provides the statutory foundation for grants, matching funds, and technology commercialization initiatives under the K-Semiconductor Belt and related industrial-innovation policies</t>
  </si>
  <si>
    <t xml:space="preserve">https://elaw.klri.re.kr/eng_service/lawView.do?hseq=4656&amp;lang=ENG&amp;</t>
  </si>
  <si>
    <t xml:space="preserve">Horizon Europe</t>
  </si>
  <si>
    <t xml:space="preserve">2021-2027</t>
  </si>
  <si>
    <t xml:space="preserve">€1.65B</t>
  </si>
  <si>
    <t xml:space="preserve">EU’s flagship research and innovation program for 2021–2027 contributing €1.65 billion specifically to semiconductor R&amp;D as part of the European Chips Act; funds pre-competitive research and pilot lines focused on next-generation chip design, materials, quantum, and photonics technologies; supports initiatives under the Chips Joint Undertaking (Chips JU) and Key Digital Technologies Joint Undertaking (KDT JU); complements national programs by co-funding pilot manufacturing, design infrastructure, and training networks; aims to strengthen Europe’s semiconductor innovation base and reduce reliance on non-EU technology ecosystems</t>
  </si>
  <si>
    <t xml:space="preserve">https://commission.europa.eu/strategy-and-policy/eu-budget/motion/focus/eu-budget-bolsters-europes-technological-leadership-european-chips-act_en#:~:text=details%20%E2%80%93%20results%20achieved-,The%20role%20of%20the%20EU%20budget,by%20long%2Dterm%20private%20investment.</t>
  </si>
  <si>
    <t xml:space="preserve">Digital Europe</t>
  </si>
  <si>
    <t xml:space="preserve">Fabrication; Logic</t>
  </si>
  <si>
    <t xml:space="preserve">Digital capacity-building program contributing €1.65 billion to the European Chips Act from its 2021–2027 budget; focuses on accelerating semiconductor deployment, design infrastructure, testing, and digital innovation hubs; funds pilot lines, semiconductor design platforms, and skills development to complement R&amp;D actions under Horizon Europe; promotes cross-border collaboration among EU research centers, foundries, and equipment suppliers to build a resilient semiconductor ecosystem; also supports AI, HPC, and cybersecurity infrastructure linked to chip design and manufacturing</t>
  </si>
  <si>
    <t xml:space="preserve">ECSEL (Under the European Union Horizon 2020 budget)</t>
  </si>
  <si>
    <t xml:space="preserve">2014-2020</t>
  </si>
  <si>
    <t xml:space="preserve">€4.8B (total announced for program)</t>
  </si>
  <si>
    <t xml:space="preserve">WFE; R&amp;D; Design</t>
  </si>
  <si>
    <t xml:space="preserve">Europe-wide public-private partnership (PPP) established under Council Regulation (EU) No 561/2014 to strengthen Europe’s electronic components and systems value chain; coordinated R&amp;D across semiconductors, embedded systems, and smart technologies; aimed to prevent ecosystem fragmentation and boost competitiveness in design, fabrication, packaging, and integration; covered TRL 3–8 collaborative projects spanning materials, manufacturing equipment, and smart applications (mobility, industry 4.0, healthcare); total € 2.3 billion in EU funding under Horizon 2020 matched by € 2.4 billion from industrial partners plus Member-State co-funding; programme operated 2014–2024 before transitioning into the Key Digital Technologies JU under Horizon Europe to maintain continuity in semiconductor R&amp;D support</t>
  </si>
  <si>
    <t xml:space="preserve">https://artemis-ia.eu/ecsel-joint-undertaking.html#:~:text=Duration%20of%20the%20programme:%207,participation:%20http://ecsel.eu</t>
  </si>
  <si>
    <t xml:space="preserve">DOD Microelectronics Commons</t>
  </si>
  <si>
    <t xml:space="preserve">$2.0B</t>
  </si>
  <si>
    <t xml:space="preserve">national network of eight regional innovation hubs established by the Department of Defense in 2023 under the CHIPS and Science Act; funded with approximately US$2 billion (FY 2023-2027) toward domestic prototyping, lab-to-fab transition, and workforce development in microelectronics for defence and commercial systems; goal is to expand U.S. microelectronics fabrication capability, bridge the “valley of death” between research and manufacturing, and enhance supply-chain resilience in critical technology areas like quantum, secure edge/IoT, 5G/6G, and wide-bandgap/compound semiconductors; enables already announced awards of US$269 million for 33 projects and additional US$160 million infusion for eight hubs; operates alongside core CHIPS programs (NSTC, NAPMP, Metrology) to integrate defence and civilian microelectronics ecosystems</t>
  </si>
  <si>
    <t xml:space="preserve">http://www.semiconductors.materiell.net/chips-rd-programs/#:~:text=CHIPS%20R&amp;D%20Programs%20Funding%20Allocation,NAPMP%20(3)</t>
  </si>
  <si>
    <t xml:space="preserve">Texas Semiconductor Innovation Fund (TSIF)</t>
  </si>
  <si>
    <t xml:space="preserve">$948M</t>
  </si>
  <si>
    <t xml:space="preserve">state-administered financial mechanism created under the Texas CHIPS Act of 2023 (House Bill 5174) to catalyze semiconductor research, design, and manufacturing across both commercial and academic sectors; managed by the Texas CHIPS Office within the Governor’s Economic Development &amp; Tourism Division, the fund provides matching grants and incentives to Texas-based entities engaged in microelectronics innovation, fabrication, and supply-chain localization; initially appropriated US $698 million in FY 2023, with an additional US $250 million infusion in 2025, bringing total appropriations to roughly US $948 million for the 2023–2027 period; designed to strengthen Texas’s strategic position as the U.S. leader in semiconductor exports and domestic chip production by attracting private investment, incentivizing advanced-node process development, and enabling lab-to-fab scaling across materials, metrology, and packaging; also complements federal CHIPS and Science Act initiatives by offering state-level co-funding to anchor manufacturing projects, sustain a skilled semiconductor workforce, and reinforce secure and resilient supply chains across defense, automotive, and emerging technology applications</t>
  </si>
  <si>
    <t xml:space="preserve">Funding for R&amp;D at leading Texas Universities</t>
  </si>
  <si>
    <t xml:space="preserve">$660M</t>
  </si>
  <si>
    <t xml:space="preserve">competitive grant and matching-funding framework dedicated to advancing semiconductor education, research, and fabrication capabilities within Texas higher-education institutions; jointly overseen by the Texas Semiconductor Innovation Consortium (TSIC)—a statewide advisory body comprising representatives from major universities, industry, and non-profit partners—and the Texas CHIPS Office; targets expansion of laboratory infrastructure, pilot-line facilities, and curriculum development for next-generation microelectronics talent; under the 88th Texas Legislature, over US $660 million was appropriated for the establishment of advanced R&amp;D centers at The University of Texas at Austin and Texas A&amp;M University, focusing on front-end process research, materials engineering, and integrated-circuit design; grants from TSIF also extend to other state universities through collaborative projects that promote public–private partnerships and workforce pipelines in semiconductor manufacturing; together, these programs form the academic cornerstone of Texas’s semiconductor strategy—linking education, applied research, and commercialization to maintain global competitiveness and ensure Texas’s continued leadership in the microelectronics value chain</t>
  </si>
  <si>
    <t xml:space="preserve">13th Five-Year Plan</t>
  </si>
  <si>
    <t xml:space="preserve">–</t>
  </si>
  <si>
    <t xml:space="preserve">Fabrication; Design; APT; R&amp;D</t>
  </si>
  <si>
    <t xml:space="preserve">China's 13th FYP marked semiconductors as a “strategic, basic, and pioneering industry,” accelerating national funding, tax incentives, and industrial clustering under Made in China 2025. Strengthened support for memory, logic, equipment, and materials localization.</t>
  </si>
  <si>
    <t xml:space="preserve">https://en.ndrc.gov.cn/policies/202105/P020210527785800103339.pdf</t>
  </si>
  <si>
    <t xml:space="preserve">14th Five-Year Plan</t>
  </si>
  <si>
    <t xml:space="preserve">R&amp;D; Design</t>
  </si>
  <si>
    <t xml:space="preserve">China’s 14th FYP elevated semiconductors as a “core national priority,” expanding funding for EDA and research</t>
  </si>
  <si>
    <t xml:space="preserve">https://cset.georgetown.edu/publication/china-14th-five-year-plan/</t>
  </si>
  <si>
    <t xml:space="preserve">Artificial Intelligence Strategy</t>
  </si>
  <si>
    <t xml:space="preserve">2020-2025</t>
  </si>
  <si>
    <t xml:space="preserve">Subsidy; Strategic Plan</t>
  </si>
  <si>
    <t xml:space="preserve">₩1.96T</t>
  </si>
  <si>
    <t xml:space="preserve">Logic; Design; R&amp;D</t>
  </si>
  <si>
    <t xml:space="preserve">South Korea’s 2019 National AI Strategy sets a vision to become a global top-3 digital competitiveness nation by 2030; targets creation of KRW 455 trillion in added economic value from AI; establishes 3 pillars, 9 strategies, and 100 detailed government tasks; allocates KRW 1.7 trillion in immediate data-network-AI spending (≈50% YoY increase); prioritizes development of “AI semiconductors” and next-generation memory as core industrial policy; mandates expansion of national AI infrastructure across data, cloud, and computing; calls for full AI deployment in public services (safety, disaster-response, elderly care, health, welfare, environment, defense); emphasizes universal AI education for all age groups and workforce retraining; adopts “negative-list” regulatory reform allowing universities to expand AI majors and professors to work concurrently in industry; commits to accelerating data-governance legislation and removing regulatory bottlenecks; frames AI as the engine of Korea’s future growth and competitiveness across manufacturing, semiconductors, mobility, public administration, and social services</t>
  </si>
  <si>
    <t xml:space="preserve">https://globaltradealert.org/state-act/62404-republic-of-korea-government-publishes-national-strategy-for-artificial-intelligence?</t>
  </si>
  <si>
    <t xml:space="preserve">Program for Promoting Investment in Japan to Strengthen Supply Chains</t>
  </si>
  <si>
    <t xml:space="preserve">¥550B</t>
  </si>
  <si>
    <t xml:space="preserve">Materials; Fabrication; WFE</t>
  </si>
  <si>
    <t xml:space="preserve">Japan’s 2020 “Program for Promoting Investment in Japan to Strengthen Supply Chains” provides subsidies of up to JPY 15 billion (≈USD 135 million) per project; first application window ran 22 May–22 July 2020; supports establishment of domestic production bases for critical goods with high foreign-production concentration; funds three categories: (1) production bases reducing disruption risk for goods highly concentrated abroad; (2) production bases for essential goods vulnerable to temporary demand spikes; (3) jointly implemented production bases by SME groups to mitigate concentrated-supply risks; ex-post disclosures show beneficiaries include semiconductor parts and materials manufacturers, rare-metal processors, EV-related material producers, aircraft-parts firms, and medical-supply manufacturers (masks, gloves, gowns, antiseptics); applicants may receive partial reimbursement for property, facility acquisition, and system-purchase costs; subsidy rates range 50%–75% depending on project type and SME involvement</t>
  </si>
  <si>
    <t xml:space="preserve">https://globaltradealert.org/intervention/115180</t>
  </si>
  <si>
    <t xml:space="preserve">Economic Measures for Overcoming COVID-19 and Opening a New Era</t>
  </si>
  <si>
    <t xml:space="preserve">2021-2024</t>
  </si>
  <si>
    <t xml:space="preserve">Japan’s November 2021 “Economic Measures for Overcoming COVID-19 and Opening a New Era” launched a ¥78.9T package with ¥55.7T fiscal spending; aimed to restart socioeconomic activity while COVID remained; framed under a national shift toward a “New Form of Capitalism” emphasizing growth + distribution; four pillars included (1) infection-control spending and support for impacted businesses; (2) demand stimulus and domestic vaccine/therapeutic development plus supply-chain risk management; (3) growth strategy centered on science/technology investment, digital-infrastructure expansion (“Digital Garden City Nation”), and economic security—explicitly strengthening autonomy/competitiveness of strategic industries including semiconductors; (4) national-resilience measures for climate disasters and security risks</t>
  </si>
  <si>
    <t xml:space="preserve">https://www5.cao.go.jp/keizai1/keizaitaisaku/2021/20211119_economic_measures_all.pdf; https://www5.cao.go.jp/keizai1/keizaitaisaku/2021/20211119_economic_measures_all.pdf</t>
  </si>
  <si>
    <t xml:space="preserve">Key and Advanced Technology R&amp;D Fund (K Program)</t>
  </si>
  <si>
    <t xml:space="preserve">¥250B</t>
  </si>
  <si>
    <t xml:space="preserve">Funds focused on promoting the development of critical technologies important for economic security such as AI and quantum technology</t>
  </si>
  <si>
    <t xml:space="preserve">https://www.meti.go.jp/english/report/data/wp2023/pdf/2-1-2.pdf#:~:text=technologies%20are%20promoted%20through%20public,html</t>
  </si>
  <si>
    <t xml:space="preserve">National Growth Fund</t>
  </si>
  <si>
    <t xml:space="preserve">₩150T (5-year fund); ₩20.9T (semiconductors in 2026 plan)</t>
  </si>
  <si>
    <t xml:space="preserve">Fabrication; Design; Materials; WFE; APT; Data Center</t>
  </si>
  <si>
    <t xml:space="preserve">2026 management plan allocates ₩20.9T to semiconductors; infrastructure investment loans include power/water facilities supporting high-tech clusters</t>
  </si>
  <si>
    <t xml:space="preserve">https://www.mk.co.kr/en/economy/11493849; https://www.chosun.com/english/market-money-en/2025/12/11/25QXCJ2Q4NCINOC5EXP6SR3QYQ/</t>
  </si>
  <si>
    <t xml:space="preserve">Temporary Suspension and Extension of Section 301 Tariffs</t>
  </si>
  <si>
    <t xml:space="preserve">2027-Indefinitely</t>
  </si>
  <si>
    <t xml:space="preserve">USTR determined China’s acts, policies, and practices related to targeting semiconductor industry dominance are actionable under Section 301; tariff action established with an initial additional duty rate of 0%, effective upon publication; 0% rate remains in effect until June 23, 2027, after which USTR may impose a higher tariff rate with ≥30 days’ notice prior to implementation</t>
  </si>
  <si>
    <t xml:space="preserve">https://public-inspection.federalregister.gov/2025-23912.pdf</t>
  </si>
  <si>
    <t xml:space="preserve">Chipmaker Domestic Capacity Mandate</t>
  </si>
  <si>
    <t xml:space="preserve">Authorities require chipmakers to use ≥50% domestically manufactured equipment for new semiconductor manufacturing capacity (expansions/new fabs); flexibility/exemptions where local tools are unavailable; stated direction toward 100% domestic reliance over time</t>
  </si>
  <si>
    <t xml:space="preserve">https://www.reuters.com/world/china/china-mandates-50-domestic-equipment-rule-chipmakers-sources-say-2025-12-30/</t>
  </si>
  <si>
    <t xml:space="preserve">Expansion of Program</t>
  </si>
  <si>
    <t xml:space="preserve">2025-2027</t>
  </si>
  <si>
    <t xml:space="preserve">Loan; Subsidy</t>
  </si>
  <si>
    <t xml:space="preserve">₩7T ($4.8B USD)</t>
  </si>
  <si>
    <t xml:space="preserve">R&amp;D; Design; APT; Fabrication</t>
  </si>
  <si>
    <t xml:space="preserve">April 2025 expansion of Korea’s 2024 semiconductor support package; total support increased to ₩33T from ₩26T; low-interest loan program expanded from ₩17T → ₩20T (+₩3T incremental); additional infrastructure and financial support for semiconductor clusters including Yongin &amp; Pyeongtaek.</t>
  </si>
  <si>
    <t xml:space="preserve">https://www.reuters.com/technology/south-korea-unveils-23-billion-support-package-chips-amid-us-tariff-uncertainty-2025-04-14/</t>
  </si>
  <si>
    <t xml:space="preserve">K-Cloud Technology Development Project</t>
  </si>
  <si>
    <t xml:space="preserve">Grant</t>
  </si>
  <si>
    <t xml:space="preserve">₩342B</t>
  </si>
  <si>
    <t xml:space="preserve">Design; R&amp;D</t>
  </si>
  <si>
    <t xml:space="preserve">MSIT-led program to commercialize domestic AI semiconductors (NPUs) on Korean cloud infrastructure; Phase 1 (2022-2025) + Phase 2 (2025-2030, ₩400B)</t>
  </si>
  <si>
    <t xml:space="preserve">https://www.korea.net/Government/Briefing-Room/Press-Releases/view?articleId=8026;https://outlook.stpi.niar.org.tw/index/news/4b11410096d362580196e5fec2d535c1?</t>
  </si>
  <si>
    <t xml:space="preserve">Semiconductor Special Act</t>
  </si>
  <si>
    <t xml:space="preserve">2026</t>
  </si>
  <si>
    <t xml:space="preserve">2026-Indefinitely</t>
  </si>
  <si>
    <t xml:space="preserve">Framework; Subsidy</t>
  </si>
  <si>
    <t xml:space="preserve">50-100% infrastructure support; ₩2tn special account (delayed 2027)</t>
  </si>
  <si>
    <t xml:space="preserve">Fabrication; R&amp;D; Infrastructure</t>
  </si>
  <si>
    <t xml:space="preserve">Establishes comprehensive semiconductor support framework; creates special account through 2036; provides 50–100% infrastructure support for semiconductor clusters; offers tax, fee, and land-use incentives; supports R&amp;D, commercialization, and workforce development</t>
  </si>
  <si>
    <t xml:space="preserve">https://www.db24.kr/news_view.jsp?news_cd=161</t>
  </si>
  <si>
    <t xml:space="preserve">3S+1F Semiconductor Megaproject</t>
  </si>
  <si>
    <t xml:space="preserve">2026-2041</t>
  </si>
  <si>
    <t xml:space="preserve">See subprojects</t>
  </si>
  <si>
    <t xml:space="preserve">Fabrication; APT; Design; Materials; R&amp;D</t>
  </si>
  <si>
    <t xml:space="preserve">Announced 2026-06-29. Nationwide semiconductor strategy covering regional fabrication, advanced packaging, next-gen semiconductors and ecosystem support. Private capex excluded from tracker.</t>
  </si>
  <si>
    <t xml:space="preserve">https://www.motir.go.kr/kor/article/ATCL3c536e4ec/79798/view</t>
  </si>
  <si>
    <t xml:space="preserve">Future Semiconductor Spearhead Program</t>
  </si>
  <si>
    <t xml:space="preserve">₩30tn+ over 15 years</t>
  </si>
  <si>
    <t xml:space="preserve">R&amp;D; Design; Fabrication</t>
  </si>
  <si>
    <t xml:space="preserve">Announced 2026-06-29. Govt investment supporting next-gen memory, edge AI and defense semiconductors across R&amp;D, design, testing and manufacturing.</t>
  </si>
  <si>
    <t xml:space="preserve">Sobujang / Fabless Semiconductor Support</t>
  </si>
  <si>
    <t xml:space="preserve">₩5tn fund + ₩5tn trade finance + ₩1tn 10-yr program</t>
  </si>
  <si>
    <t xml:space="preserve">Materials; Design (fabless &amp; sobujang SMEs)</t>
  </si>
  <si>
    <t xml:space="preserve">Announced 2026-08-10. Govt support for semiconductor materials/parts/equipment and fabless firms through dedicated fund, trade finance and long-term supplier cooperation support.</t>
  </si>
  <si>
    <t xml:space="preserve">https://www.reuters.com/world/asia-pacific/south-koreas-lee-wants-military-airbase-relocated-by-mid-2028-chip-cluster-2026-08-10/</t>
  </si>
  <si>
    <t xml:space="preserve">EU Chips Act 2.0</t>
  </si>
  <si>
    <t xml:space="preserve">Fabrication; APT; WFE; Materials; Design; R&amp;D</t>
  </si>
  <si>
    <t xml:space="preserve">Commission proposal published 2026-06-03 building on the European Chips Act; expands state-aid eligibility across the full semiconductor value chain; introduces Strategic Projects, Demand Accelerators and faster permitting; strengthens R&amp;D, advanced manufacturing and supply-chain resilience.</t>
  </si>
  <si>
    <t xml:space="preserve">https://digital-strategy.ec.europa.eu/en/policies/chips-act-2</t>
  </si>
  <si>
    <t xml:space="preserve">RIE 2030 Semiconductor Flagship</t>
  </si>
  <si>
    <t xml:space="preserve">S$800M</t>
  </si>
  <si>
    <t xml:space="preserve">R&amp;D; APT; Design</t>
  </si>
  <si>
    <t xml:space="preserve">S$800 million govt R&amp;D program under RIE2030; coordinates publicly funded semiconductor research focused on advanced packaging, photonics and heterogeneous integration; supports translation of research into commercial products and advanced manufacturing.</t>
  </si>
  <si>
    <t xml:space="preserve">https://www.edb.gov.sg/en/business-insights/insights/budget-2026-singapore-commits-s800-million-to-semiconductor-research-and-development-to-deepen-high-impact-tech-capabilities.html</t>
  </si>
  <si>
    <t xml:space="preserve">Fabrication; APT; R&amp;D; Electronics</t>
  </si>
  <si>
    <t xml:space="preserve">Thailand Board of Investment (BOI) portfolio of semiconductor investment incentives, comprising specialised BOI semiconductor incentives (front-end wafer fabrication up to 10-year corporate tax holiday and back-end/wafer-slicing/assembly benefits), the Industry 4.0 add-on covering the Eastern Economic Corridor, and the 5-year investment strategy (CIT exemptions, machinery thresholds, and import-duty exemptions).</t>
  </si>
  <si>
    <t xml:space="preserve">2016-2029</t>
  </si>
  <si>
    <t xml:space="preserve">Shanghai municipal government equity investment fund supporting the local integrated-circuit value chain across design, manufacturing, packaging/test, and equipment. Established in 2016 and expanded through Phase II (2020) and Phase III (2025).</t>
  </si>
  <si>
    <t xml:space="preserve">2020-2026</t>
  </si>
  <si>
    <t xml:space="preserve">Guangdong provincial equity investment fund supporting the local semiconductor/IC value chain across manufacturing, equipment, materials, and packaging/test. Established in 2020 (Phase I) and expanded through Phase II (2023).</t>
  </si>
  <si>
    <t xml:space="preserve">Distribution Name</t>
  </si>
  <si>
    <t xml:space="preserve">Distribution ID</t>
  </si>
  <si>
    <t xml:space="preserve">Country</t>
  </si>
  <si>
    <t xml:space="preserve">USD (in $Ms)</t>
  </si>
  <si>
    <t xml:space="preserve">Intel Magdeburg Fab</t>
  </si>
  <si>
    <t xml:space="preserve">Germany</t>
  </si>
  <si>
    <t xml:space="preserve">0 (Prev. €10B)</t>
  </si>
  <si>
    <t xml:space="preserve">Intel Magdeburg mega-fab cancelled July 2025</t>
  </si>
  <si>
    <t xml:space="preserve">https://ukandeu.ac.uk/the-significance-of-german-subsidies-for-intel/</t>
  </si>
  <si>
    <t xml:space="preserve">TSMC Bosch Dresden Fab</t>
  </si>
  <si>
    <t xml:space="preserve">€5B</t>
  </si>
  <si>
    <t xml:space="preserve">TSMC-led Dresden 300mm fab producing automotive focused chips</t>
  </si>
  <si>
    <t xml:space="preserve">https://www.bosch-semiconductors.com/stories/starting-signal-for-state-of-the-art-chip-factory-esmc-in-dresden/</t>
  </si>
  <si>
    <t xml:space="preserve">STM Chip Fabrication Facility</t>
  </si>
  <si>
    <t xml:space="preserve">2024-2032</t>
  </si>
  <si>
    <t xml:space="preserve">Italy</t>
  </si>
  <si>
    <t xml:space="preserve">€2B</t>
  </si>
  <si>
    <t xml:space="preserve">200mm SiC fab for automotive, industrial, cloud infrastructure</t>
  </si>
  <si>
    <t xml:space="preserve">https://ec.europa.eu/commission/presscorner/api/files/document/print/en/ip_24_2994/IP_24_2994_EN.pdf</t>
  </si>
  <si>
    <t xml:space="preserve">JASM</t>
  </si>
  <si>
    <t xml:space="preserve">2022-2024</t>
  </si>
  <si>
    <t xml:space="preserve">¥476B ($3.2B USD)</t>
  </si>
  <si>
    <t xml:space="preserve">JASM Japan fab exceeds 100k wafers monthly multiple nodes</t>
  </si>
  <si>
    <t xml:space="preserve">https://asia.nikkei.com/business/tech/semiconductors/japan-to-subsidize-tsmc-s-kumamoto-plant-by-up-to-3.5bn; https://pr.tsmc.com/english/news/3113#:~:text=The%20opening%20marks%20a%20significant%20milestone%20for,to%20begin%20by%20the%20end%20of%202024.</t>
  </si>
  <si>
    <t xml:space="preserve">JASM Fab Two</t>
  </si>
  <si>
    <t xml:space="preserve">¥732B ($4.99B USD)</t>
  </si>
  <si>
    <t xml:space="preserve">Second JASM fab delayed prioritizing U.S. investment traffic issues; upgraded to 3nm with production now expected 2028 (Taiwan approval Mar 2026), subsidy subject to revision</t>
  </si>
  <si>
    <t xml:space="preserve">https://www.trendforce.com/news/2025/07/25/news-tsmc-reportedly-delays-kumamoto-2nd-fab-launch-to-2029-amid-u-s-expansion-push/; https://www.reuters.com/technology/tokyo-pledges-further-49-bln-help-tsmc-expand-japan-production-2024-02-24/; https://www.taipeitimes.com/News/biz/archives/2026/04/01/2003854797</t>
  </si>
  <si>
    <t xml:space="preserve">Micron Hiroshima DRAM Fab Investment 2</t>
  </si>
  <si>
    <t xml:space="preserve">¥536B ($3.63B USD)</t>
  </si>
  <si>
    <t xml:space="preserve">Japan fab start moved to 2027 due market softness</t>
  </si>
  <si>
    <t xml:space="preserve">https://www.trendforce.com/news/2025/09/19/news-japan-pledged-jpy-536-billion-to-micron-escalating-global-semiconductor-subsidy-race/</t>
  </si>
  <si>
    <t xml:space="preserve">Rapidus Grant Two</t>
  </si>
  <si>
    <t xml:space="preserve">Equity Grant / R&amp;D Subsidy</t>
  </si>
  <si>
    <t xml:space="preserve">¥802.5B</t>
  </si>
  <si>
    <t xml:space="preserve">Rapidus consortium developing advanced 2nm logic chips domestically</t>
  </si>
  <si>
    <t xml:space="preserve">https://news.metal.com/newscontent/103260356/Japan-Allocates-172-Trillion-Yen-to-Secure-Semiconductor-Supply-Boosts-Rapidus-Aid; https://globaltradealert.org/state-act/91102-japan-rapidus-corporation-secures-jpy-8025-billion-in-state-aid</t>
  </si>
  <si>
    <t xml:space="preserve">Arm Holdings IP Purchase and Office Opening</t>
  </si>
  <si>
    <t xml:space="preserve">RM$250M</t>
  </si>
  <si>
    <t xml:space="preserve">Malaysia gains Arm IP access plus trains 10k engineers</t>
  </si>
  <si>
    <t xml:space="preserve">https://www.reuters.com/markets/asia/malaysia-minister-says-pay-arm-holdings-250-million-chips-design-blueprints-2025-03-05/</t>
  </si>
  <si>
    <t xml:space="preserve">Albany Nanotech EUV Lithography Center</t>
  </si>
  <si>
    <t xml:space="preserve">2025-2026</t>
  </si>
  <si>
    <t xml:space="preserve">$825M</t>
  </si>
  <si>
    <t xml:space="preserve">WFE; APT</t>
  </si>
  <si>
    <t xml:space="preserve">$825M U.S. EUV lithography research center construction funding</t>
  </si>
  <si>
    <t xml:space="preserve">https://www.csis.org/analysis/albany-nanotechs-potential-support-national-semiconductor-technology-center</t>
  </si>
  <si>
    <t xml:space="preserve">Natcast NSTC Operating Agreement</t>
  </si>
  <si>
    <t xml:space="preserve">R&amp;D; Talent Development</t>
  </si>
  <si>
    <t xml:space="preserve">Natcast operating United States National Semiconductor Technology Center</t>
  </si>
  <si>
    <t xml:space="preserve">https://www.commerce.gov/news/press-releases/2025/01/department-commerce-finalizes-long-term-partnership-natcast-operate?</t>
  </si>
  <si>
    <t xml:space="preserve">Natcast Advanced Packaging Pilot Facility</t>
  </si>
  <si>
    <t xml:space="preserve">$1.1B</t>
  </si>
  <si>
    <t xml:space="preserve">$1.1B advanced packaging APT pilot facility supporting CHIPS Act</t>
  </si>
  <si>
    <t xml:space="preserve">https://www.ahwatukee.com/1-2b-heading-to-tempe-chip-sector/article_15125172-d76f-11ef-ad75-0fb34a97b3b5.html</t>
  </si>
  <si>
    <t xml:space="preserve">R&amp;D Funding for Materials and Substrates</t>
  </si>
  <si>
    <t xml:space="preserve">$300M</t>
  </si>
  <si>
    <t xml:space="preserve">$300M funding advanced semiconductor substrates and materials innovation</t>
  </si>
  <si>
    <t xml:space="preserve">https://www.nist.gov/chips/research-development-programs/national-advanced-packaging-manufacturing-program</t>
  </si>
  <si>
    <t xml:space="preserve">SRC Grant to build CHIPS Manufacturing USA Institute HQ</t>
  </si>
  <si>
    <t xml:space="preserve">2025-2025</t>
  </si>
  <si>
    <t xml:space="preserve">APT; Fabrication</t>
  </si>
  <si>
    <t xml:space="preserve">Digital twin R&amp;D facility improving semiconductor manufacturing productivity</t>
  </si>
  <si>
    <t xml:space="preserve">https://www.manufacturingusa.com/news/biden-harris-administration-awards-semiconductor-research-corporation-manufacturing-consortium?</t>
  </si>
  <si>
    <t xml:space="preserve">GlobalFoundries Malta Fab</t>
  </si>
  <si>
    <t xml:space="preserve">2024-2027</t>
  </si>
  <si>
    <t xml:space="preserve">$1.45B</t>
  </si>
  <si>
    <t xml:space="preserve">GlobalFoundries receives $1.45B fab expansion modernization and packaging</t>
  </si>
  <si>
    <t xml:space="preserve">https://www.nist.gov/chips/chips-america-awards?page=1</t>
  </si>
  <si>
    <t xml:space="preserve">Infinera APT Facility</t>
  </si>
  <si>
    <t xml:space="preserve">$93M</t>
  </si>
  <si>
    <t xml:space="preserve">Fabrication; APT</t>
  </si>
  <si>
    <t xml:space="preserve">InP PIC testing and packaging facility supporting growing demand</t>
  </si>
  <si>
    <t xml:space="preserve">Edwards Vacuum Pump Facility</t>
  </si>
  <si>
    <t xml:space="preserve">2024-2025</t>
  </si>
  <si>
    <t xml:space="preserve">$18M</t>
  </si>
  <si>
    <t xml:space="preserve">Domestic vacuum pump expansion resolves semiconductor-grade supply shortages</t>
  </si>
  <si>
    <t xml:space="preserve">GlobalFoundries Burlington VT Fab Revitalization</t>
  </si>
  <si>
    <t xml:space="preserve">Unknown</t>
  </si>
  <si>
    <t xml:space="preserve">$125M</t>
  </si>
  <si>
    <t xml:space="preserve">200mm GaN-on-Si fab commercializing EV power semiconductor technologies</t>
  </si>
  <si>
    <t xml:space="preserve">Infinera Foundry Expansion</t>
  </si>
  <si>
    <t xml:space="preserve">InP PIC foundry expansion plus additional cleanroom modernization investments</t>
  </si>
  <si>
    <t xml:space="preserve">Corning Plant Expansion</t>
  </si>
  <si>
    <t xml:space="preserve">$32M</t>
  </si>
  <si>
    <t xml:space="preserve">Boost fused silica and extreme ULE glass domestic production</t>
  </si>
  <si>
    <t xml:space="preserve">Texas Instruments Lehi UT Fab</t>
  </si>
  <si>
    <t xml:space="preserve">2024-2026</t>
  </si>
  <si>
    <t xml:space="preserve">$700M</t>
  </si>
  <si>
    <t xml:space="preserve">Utah 300mm fab manufacturing 28–65nm analog embedded semiconductors</t>
  </si>
  <si>
    <t xml:space="preserve">Texas Instruments Sherman TX Fab</t>
  </si>
  <si>
    <t xml:space="preserve">$900M</t>
  </si>
  <si>
    <t xml:space="preserve">Two mature-node fabs producing 65–130nm U.S. semiconductor supply</t>
  </si>
  <si>
    <t xml:space="preserve">Samsung Electronics Taylor TX Fab</t>
  </si>
  <si>
    <t xml:space="preserve">$4.745B</t>
  </si>
  <si>
    <t xml:space="preserve">Taylor 2nm fabs delayed lacking customers and technology readiness</t>
  </si>
  <si>
    <t xml:space="preserve">SK Hynix West Lafayette IN Fab</t>
  </si>
  <si>
    <t xml:space="preserve">2025-2028</t>
  </si>
  <si>
    <t xml:space="preserve">$458M</t>
  </si>
  <si>
    <t xml:space="preserve">HBM advanced packaging fab strengthening U.S. memory supply resiliency; direct funding only (the $500M CHIPS loan is a separate row)</t>
  </si>
  <si>
    <t xml:space="preserve">GlobalWafers Sherman TX Fab</t>
  </si>
  <si>
    <t xml:space="preserve">$380M</t>
  </si>
  <si>
    <t xml:space="preserve">Large silicon wafer facility supporting leading-edge and mature nodes</t>
  </si>
  <si>
    <t xml:space="preserve">Global Wafers St. Peters MO Fab</t>
  </si>
  <si>
    <t xml:space="preserve">$20M</t>
  </si>
  <si>
    <t xml:space="preserve">SOI wafer fab enabling advanced semiconductor application manufacturing</t>
  </si>
  <si>
    <t xml:space="preserve">Micron Boise ID Fabs</t>
  </si>
  <si>
    <t xml:space="preserve">$3.05B</t>
  </si>
  <si>
    <t xml:space="preserve">Two high-volume memory fabs co-located with R&amp;D hub</t>
  </si>
  <si>
    <t xml:space="preserve">Micron Clay NY Fabs</t>
  </si>
  <si>
    <t xml:space="preserve">first two fabs of planned four fab “megafab” focused on leading-edge DRAM chip productio</t>
  </si>
  <si>
    <t xml:space="preserve">Absolics Covington GA Manufacturing Facility</t>
  </si>
  <si>
    <t xml:space="preserve">$75M</t>
  </si>
  <si>
    <t xml:space="preserve">Materials; APT</t>
  </si>
  <si>
    <t xml:space="preserve">Glass substrate facility supporting advanced semiconductor packaging platforms</t>
  </si>
  <si>
    <t xml:space="preserve">Entegris Colorado Springs CO Manufacturing Facility</t>
  </si>
  <si>
    <t xml:space="preserve">$77M</t>
  </si>
  <si>
    <t xml:space="preserve">FOUP filtration manufacturing expansion strengthening materials supply chain</t>
  </si>
  <si>
    <t xml:space="preserve">Intel Rio Rancho NM Packaging Facility</t>
  </si>
  <si>
    <t xml:space="preserve">2024-2024</t>
  </si>
  <si>
    <t xml:space="preserve">$141M</t>
  </si>
  <si>
    <t xml:space="preserve">Advanced packaging modernization closing U.S. semiconductor capability gap. Awarded $500M; reduced pro rata to its share of the ~$2.2B Intel received before the remaining $5.7B in unpaid CHIPS grants was converted into the Aug 2025 equity stake (see US Intel Equity Stake row); per-fab split is approximate</t>
  </si>
  <si>
    <t xml:space="preserve">Intel New Albany OH Fab</t>
  </si>
  <si>
    <t xml:space="preserve">$423M</t>
  </si>
  <si>
    <t xml:space="preserve">Leading-edge Intel logic fab supporting 14A and successors. Awarded $1.5B; reduced pro rata to its share of the ~$2.2B Intel received before the remaining $5.7B in unpaid CHIPS grants was converted into the Aug 2025 equity stake (see US Intel Equity Stake row); per-fab split is approximate</t>
  </si>
  <si>
    <t xml:space="preserve">Intel Chandler AZ Fab</t>
  </si>
  <si>
    <t xml:space="preserve">$1111M</t>
  </si>
  <si>
    <t xml:space="preserve">Intel 18A fabs expanding modernized domestic advanced logic capacity. Awarded $3.94B; reduced pro rata to its share of the ~$2.2B Intel received before the remaining $5.7B in unpaid CHIPS grants was converted into the Aug 2025 equity stake (see US Intel Equity Stake row); per-fab split is approximate</t>
  </si>
  <si>
    <t xml:space="preserve">Intel Hillsboro Oregon Fab Modernization</t>
  </si>
  <si>
    <t xml:space="preserve">$525M</t>
  </si>
  <si>
    <t xml:space="preserve">High-NA EUV development facility expanding technology breakthroughs domestically. Awarded $1.86B; reduced pro rata to its share of the ~$2.2B Intel received before the remaining $5.7B in unpaid CHIPS grants was converted into the Aug 2025 equity stake (see US Intel Equity Stake row); per-fab split is approximate</t>
  </si>
  <si>
    <t xml:space="preserve">BAE Systems Nashua NH Fab Modernization</t>
  </si>
  <si>
    <t xml:space="preserve">$35.5M</t>
  </si>
  <si>
    <t xml:space="preserve">Aging equipment replaced supporting critical DoD semiconductor programs</t>
  </si>
  <si>
    <t xml:space="preserve">Rocket Lab Albuquerque NM</t>
  </si>
  <si>
    <t xml:space="preserve">$23.9M</t>
  </si>
  <si>
    <t xml:space="preserve">Space-grade solar cell capacity increased 50% meeting demand</t>
  </si>
  <si>
    <t xml:space="preserve">TSMC Phoenix AZ Fab</t>
  </si>
  <si>
    <t xml:space="preserve">$6.6B</t>
  </si>
  <si>
    <t xml:space="preserve">Three Phoenix 2nm fabs exceeding $65B private investment</t>
  </si>
  <si>
    <t xml:space="preserve">Polar Semiconductor Bloomington MN Fab</t>
  </si>
  <si>
    <t xml:space="preserve">$123M</t>
  </si>
  <si>
    <t xml:space="preserve">Expanded facility doubling U.S. sensor and power chip output</t>
  </si>
  <si>
    <t xml:space="preserve">Amkor Peoria, AZ Fab</t>
  </si>
  <si>
    <t xml:space="preserve">$407M</t>
  </si>
  <si>
    <t xml:space="preserve">$7 billion semiconductor packaging and test facility in Peoria, Arizona</t>
  </si>
  <si>
    <t xml:space="preserve">https://www.nist.gov/chips/chips-america-awards</t>
  </si>
  <si>
    <t xml:space="preserve">Arizona State University</t>
  </si>
  <si>
    <t xml:space="preserve">$100M</t>
  </si>
  <si>
    <t xml:space="preserve">developing the next generation of microelectronics packaging through fan-out-wafer-level processing</t>
  </si>
  <si>
    <t xml:space="preserve">Absolics Inc. – Covington, GA</t>
  </si>
  <si>
    <t xml:space="preserve">Develops glass-core panel packaging technology</t>
  </si>
  <si>
    <t xml:space="preserve">Applied Materials – Santa Clara, CA</t>
  </si>
  <si>
    <t xml:space="preserve">Builds silicon-core substrate packaging technology</t>
  </si>
  <si>
    <t xml:space="preserve">HP Lab-to-Fab Corvallis OR Expansion</t>
  </si>
  <si>
    <t xml:space="preserve">$53M</t>
  </si>
  <si>
    <t xml:space="preserve">part of the company’s “lab-to-fab” ecosystem in the region that spans from research and development (“R&amp;D”) activities to commercial manufacturing operations.</t>
  </si>
  <si>
    <t xml:space="preserve">Hemlock Semiconductor Hemlock MI Plant</t>
  </si>
  <si>
    <t xml:space="preserve">$325M</t>
  </si>
  <si>
    <t xml:space="preserve">Facility supporting the production of hyper-pure polysilicon</t>
  </si>
  <si>
    <t xml:space="preserve">Semiconductor Research Corporation Manufacturing Consortium Corporation (SRC)</t>
  </si>
  <si>
    <t xml:space="preserve">Establishing and operating a manufacturing USA institute</t>
  </si>
  <si>
    <t xml:space="preserve">Berkeley Activate Program</t>
  </si>
  <si>
    <t xml:space="preserve">$5M</t>
  </si>
  <si>
    <t xml:space="preserve">Program to fund 10 early stage companies with innovative ideas</t>
  </si>
  <si>
    <t xml:space="preserve">https://www.nist.gov/chips/activate-berkeley</t>
  </si>
  <si>
    <t xml:space="preserve">Intelligent Epitaxy Technology, Inc. (IntelliEPI)</t>
  </si>
  <si>
    <t xml:space="preserve">-Indefinitely</t>
  </si>
  <si>
    <t xml:space="preserve">$4.12M</t>
  </si>
  <si>
    <t xml:space="preserve">New 30,000 sq ft wafer facility; triples output; ~$41M investment</t>
  </si>
  <si>
    <t xml:space="preserve">https://gov.texas.gov/news/post/governor-abbott-announces-texas-semiconductor-innovation-fund-grant-to-intelliepi#:~:text=Governor%20Greg%20Abbott%20today%20announced,the%20Texas%20Semiconductor%20Innovation%20Consortium</t>
  </si>
  <si>
    <t xml:space="preserve">Dongjin Semichem Texas, Inc. (DST)</t>
  </si>
  <si>
    <t xml:space="preserve">$2.40M</t>
  </si>
  <si>
    <t xml:space="preserve">First U.S. production of ultra-high-purity photoresist thinners; ~$110M investment</t>
  </si>
  <si>
    <t xml:space="preserve">https://gov.texas.gov/news/post/governor-abbott-announces-texas-semiconductor-innovation-fund-grant-to-dongjin-semichem-texas#:~:text=Governor%20Greg%20Abbott%20today%20announced,TSIC</t>
  </si>
  <si>
    <t xml:space="preserve">Silicon Laboratories, Inc. (Silicon Labs)</t>
  </si>
  <si>
    <t xml:space="preserve">$23.25M</t>
  </si>
  <si>
    <t xml:space="preserve">New chip design/testing lab with AI/ML integration; ~$80M investment</t>
  </si>
  <si>
    <t xml:space="preserve">https://gov.texas.gov/news/post/governor-abbott-announces-texas-semiconductor-innovation-fund-grant-to-silicon-labs#:~:text=Governor%20Greg%20Abbott%20today%20announced,80%20million%20in%20capital%20investment</t>
  </si>
  <si>
    <t xml:space="preserve">KoMiCo Technology, Inc.</t>
  </si>
  <si>
    <t xml:space="preserve">$2.00M</t>
  </si>
  <si>
    <t xml:space="preserve">Round Rock expansion (+40,000 sq ft) increasing cleanroom + production for sub-10nm tool services</t>
  </si>
  <si>
    <t xml:space="preserve">https://gov.texas.gov/news/post/governor-abbott-announces-texas-semiconductor-innovation-fund-grant-to-komico#:~:text=Governor%20Greg%20Abbott%20today%20announced,36%20million%20in%20capital%20investment</t>
  </si>
  <si>
    <t xml:space="preserve">SpaceX (Starlink Semiconductor Facility)</t>
  </si>
  <si>
    <t xml:space="preserve">$17.30M</t>
  </si>
  <si>
    <t xml:space="preserve">+1M sq ft advanced packaging &amp; electronic kit facility; ~$280M investment; largest PLP/PCB facility in North America</t>
  </si>
  <si>
    <t xml:space="preserve">https://gov.texas.gov/news/post/governor-abbott-announces-texas-semiconductor-innovation-fund-grant-to-spacex#:~:text=Governor%20Greg%20Abbott%20today%20announced,280%20million%20in%20capital%20investment</t>
  </si>
  <si>
    <t xml:space="preserve">DSM Semichem LLC</t>
  </si>
  <si>
    <t xml:space="preserve">$7.87M</t>
  </si>
  <si>
    <t xml:space="preserve">Expansion doubling output of high-purity sulfuric acid (ELSA); ~$176M investment</t>
  </si>
  <si>
    <t xml:space="preserve">https://gov.texas.gov/news/post/governor-abbott-announces-texas-semiconductor-innovation-fund-grant-to-dsm#:~:text=Governor%20Greg%20Abbott%20today%20announced,and%20creates%2040%20new%20jobs</t>
  </si>
  <si>
    <t xml:space="preserve">Tokyo Electron U.S. Holdings (TEL U.S.)</t>
  </si>
  <si>
    <t xml:space="preserve">$3.08M</t>
  </si>
  <si>
    <t xml:space="preserve">New R&amp;D &amp; technical training center using VR/AR; trains ~2,200 technicians per year</t>
  </si>
  <si>
    <t xml:space="preserve">https://gov.texas.gov/news/post/governor-abbott-announces-texas-semiconductor-innovation-fund-grant-to-tokyo-electron-u.s-holdings-inc#:~:text=Governor%20Greg%20Abbott%20today%20announced,30%20million%20in%20capital%20investment</t>
  </si>
  <si>
    <t xml:space="preserve">MGC Pure Chemicals America, Inc. (MPCA)</t>
  </si>
  <si>
    <t xml:space="preserve">$5.30M</t>
  </si>
  <si>
    <t xml:space="preserve">Expansion +130,000 sq ft to increase high-purity cleaning agents (H₂O₂, NH₄OH)</t>
  </si>
  <si>
    <t xml:space="preserve">https://gov.texas.gov/news/post/governor-abbott-announces-texas-semiconductor-innovation-grant-to-mgc-pure-chemicals-america-inc#:~:text=Governor%20Greg%20Abbott%20today%20announced,150%20million%20in%20capital%20investment</t>
  </si>
  <si>
    <t xml:space="preserve">Austin Community College District (ACC)</t>
  </si>
  <si>
    <t xml:space="preserve">$3.60M</t>
  </si>
  <si>
    <t xml:space="preserve">Semiconductor manufacturing lab + precision welding lab; Round Rock campus</t>
  </si>
  <si>
    <t xml:space="preserve">https://gov.texas.gov/news/post/governor-abbott-announces-texas-semiconductor-innovation-fund-grant-to-austin-community-college#:~:text=Governor%20Greg%20Abbott%20today%20announced,a%20Texas%20higher%20education%20institution</t>
  </si>
  <si>
    <t xml:space="preserve">Samsung Austin Semiconductor (Taylor Fab)</t>
  </si>
  <si>
    <t xml:space="preserve">$250.00M</t>
  </si>
  <si>
    <t xml:space="preserve">Support for Samsung’s Taylor 2-nm fab</t>
  </si>
  <si>
    <t xml:space="preserve">https://gov.texas.gov/news/post/governor-abbott-announces-texas-semiconductor-innovation-fund-grant-to-samsung-austin-semiconductor#:~:text=Governor%20Greg%20Abbott%20today%20announced,73%20billion%20in%20capital%20investment</t>
  </si>
  <si>
    <t xml:space="preserve">Yerico Manufacturing, Inc.</t>
  </si>
  <si>
    <t xml:space="preserve">$1.30M</t>
  </si>
  <si>
    <t xml:space="preserve">+50,000 sq ft facility expansion; +30 jobs; increases output of refurbished semiconductor tool parts</t>
  </si>
  <si>
    <t xml:space="preserve">https://gov.texas.gov/news/post/governor-abbott-announces-texas-semiconductor-innovation-fund-grant-to-yerico-manufacturing#:~:text=Governor%20Greg%20Abbott%20today%20announced,13%20million%20in%20capital%20investment</t>
  </si>
  <si>
    <t xml:space="preserve">National IC Industry Investment Fund (Big Fund I)</t>
  </si>
  <si>
    <t xml:space="preserve">SMIC</t>
  </si>
  <si>
    <t xml:space="preserve">¥2.7B</t>
  </si>
  <si>
    <t xml:space="preserve">11.54% stake; second-largest shareholder; expand advanced process capacity</t>
  </si>
  <si>
    <t xml:space="preserve">https://pdf.dfcfw.com/pdf/H3_AP201905051326608713_1.pdf?1557083214000.pdf#:~:text=%E6%9D%90%E6%96%99%202018,PECVD%2CALD</t>
  </si>
  <si>
    <t xml:space="preserve">Sanan Optoelectronics</t>
  </si>
  <si>
    <t xml:space="preserve">¥4.839B</t>
  </si>
  <si>
    <t xml:space="preserve">Fabrication; Compound; Photonicss</t>
  </si>
  <si>
    <t xml:space="preserve">Stakeholder investment; expand LED/compound production</t>
  </si>
  <si>
    <t xml:space="preserve">¥1.6B</t>
  </si>
  <si>
    <t xml:space="preserve">Fabrication; Photonicss; Compound</t>
  </si>
  <si>
    <t xml:space="preserve">Follow-up investment; optical comms &amp; compound semiconductors</t>
  </si>
  <si>
    <t xml:space="preserve">Silan Microelectronics</t>
  </si>
  <si>
    <t xml:space="preserve">¥600M</t>
  </si>
  <si>
    <t xml:space="preserve">Fabrication; Compound</t>
  </si>
  <si>
    <t xml:space="preserve">Build 8-inch wafer line for power devices</t>
  </si>
  <si>
    <t xml:space="preserve">YMTC</t>
  </si>
  <si>
    <t xml:space="preserve">¥18.9B</t>
  </si>
  <si>
    <t xml:space="preserve">JV with Tsinghua Unigroup for China's first 3D NAND fab</t>
  </si>
  <si>
    <t xml:space="preserve">SMIC Beijing</t>
  </si>
  <si>
    <t xml:space="preserve">¥4.3B</t>
  </si>
  <si>
    <t xml:space="preserve">Expand mature process &amp; NOR Flash lines</t>
  </si>
  <si>
    <t xml:space="preserve">Huali Microelectronics (HLMC)</t>
  </si>
  <si>
    <t xml:space="preserve">¥11.6B</t>
  </si>
  <si>
    <t xml:space="preserve">Phase II fab investment</t>
  </si>
  <si>
    <t xml:space="preserve">Navgnss (MEMS Fab)</t>
  </si>
  <si>
    <t xml:space="preserve">¥1.4B</t>
  </si>
  <si>
    <t xml:space="preserve">8-inch MEMS foundry for inertial navigation chips</t>
  </si>
  <si>
    <t xml:space="preserve">Silex (Sweden)</t>
  </si>
  <si>
    <t xml:space="preserve">Acquired 30% stake in Sweden’s Silex to secure MEMS foundry capacity</t>
  </si>
  <si>
    <t xml:space="preserve">¥6B</t>
  </si>
  <si>
    <t xml:space="preserve">Second capital injection</t>
  </si>
  <si>
    <t xml:space="preserve">SMIC South</t>
  </si>
  <si>
    <t xml:space="preserve">14nm advanced process fab</t>
  </si>
  <si>
    <t xml:space="preserve">Hua Hong Semiconductor</t>
  </si>
  <si>
    <t xml:space="preserve">¥2.6B</t>
  </si>
  <si>
    <t xml:space="preserve">Acquired 18.94% stake in specialty foundry</t>
  </si>
  <si>
    <t xml:space="preserve">Hua Hong Wuxi</t>
  </si>
  <si>
    <t xml:space="preserve">¥3.394B</t>
  </si>
  <si>
    <t xml:space="preserve">Cash injection for 12-inch specialty fab project</t>
  </si>
  <si>
    <t xml:space="preserve">SMIC Ningbo JV</t>
  </si>
  <si>
    <t xml:space="preserve">¥500M</t>
  </si>
  <si>
    <t xml:space="preserve">32.97% stake in SMIC JV</t>
  </si>
  <si>
    <t xml:space="preserve">SMIC (HK stock placement)</t>
  </si>
  <si>
    <t xml:space="preserve">¥1.071B</t>
  </si>
  <si>
    <t xml:space="preserve">Subscribed to HK issuance for fab expansion</t>
  </si>
  <si>
    <t xml:space="preserve">Beijing Yandong Microelectronics</t>
  </si>
  <si>
    <t xml:space="preserve">¥1B</t>
  </si>
  <si>
    <t xml:space="preserve">19.76% stake in Microelectronics Business</t>
  </si>
  <si>
    <t xml:space="preserve">¥13.5B</t>
  </si>
  <si>
    <t xml:space="preserve">Expand 3D NAND fab; 12.88% equity stake</t>
  </si>
  <si>
    <t xml:space="preserve">Tsinghua Unigroup</t>
  </si>
  <si>
    <t xml:space="preserve">¥10B</t>
  </si>
  <si>
    <t xml:space="preserve">Support M&amp;A for Spreadtrum, RDA; build domestic mobile IC ecosystem</t>
  </si>
  <si>
    <t xml:space="preserve">Ninestar Corp.</t>
  </si>
  <si>
    <t xml:space="preserve">Stake relating to Lexmark deal; expansion of printer chip business</t>
  </si>
  <si>
    <t xml:space="preserve">Nationalchip (Guoke Micro)</t>
  </si>
  <si>
    <t xml:space="preserve">¥400M</t>
  </si>
  <si>
    <t xml:space="preserve">Support domestic audio/video broadcasting and surveillance chip development</t>
  </si>
  <si>
    <t xml:space="preserve">BDStar Navigation</t>
  </si>
  <si>
    <t xml:space="preserve">¥1.5B</t>
  </si>
  <si>
    <t xml:space="preserve">Support R&amp;D of BeiDou GNSS and inertial navigation chips</t>
  </si>
  <si>
    <t xml:space="preserve">ZTE Microelectronics</t>
  </si>
  <si>
    <t xml:space="preserve">¥2.4B</t>
  </si>
  <si>
    <t xml:space="preserve">Support next-gen communication chip R&amp;D</t>
  </si>
  <si>
    <t xml:space="preserve">Unnamed U.S. Analog IC Company</t>
  </si>
  <si>
    <t xml:space="preserve">¥3.3B</t>
  </si>
  <si>
    <t xml:space="preserve">Cross-border acquisition of analog/mixed-signal design IP</t>
  </si>
  <si>
    <t xml:space="preserve">Centec Networks</t>
  </si>
  <si>
    <t xml:space="preserve">¥190M</t>
  </si>
  <si>
    <t xml:space="preserve">Design; Photonicss</t>
  </si>
  <si>
    <t xml:space="preserve">Startup investment in domestic switch-chip designer</t>
  </si>
  <si>
    <t xml:space="preserve">GigaDevice</t>
  </si>
  <si>
    <t xml:space="preserve">¥1.45B</t>
  </si>
  <si>
    <t xml:space="preserve">Design; Logic</t>
  </si>
  <si>
    <t xml:space="preserve">Expand NOR/NAND and microcontroller chip design</t>
  </si>
  <si>
    <t xml:space="preserve">Goodix Technology</t>
  </si>
  <si>
    <t xml:space="preserve">¥2.83B</t>
  </si>
  <si>
    <t xml:space="preserve">Human-machine interface &amp; biometric chip expansion</t>
  </si>
  <si>
    <t xml:space="preserve">Jingjia Micro</t>
  </si>
  <si>
    <t xml:space="preserve">¥1.17B</t>
  </si>
  <si>
    <t xml:space="preserve">Domestic GPU and military radar processing IC development</t>
  </si>
  <si>
    <t xml:space="preserve">Fuzhou Rockchip</t>
  </si>
  <si>
    <t xml:space="preserve">Not disclosed</t>
  </si>
  <si>
    <t xml:space="preserve">Support for IoT, AI processor design</t>
  </si>
  <si>
    <t xml:space="preserve">Chipone Microelectronics</t>
  </si>
  <si>
    <t xml:space="preserve">¥150M</t>
  </si>
  <si>
    <t xml:space="preserve">Design; Compound</t>
  </si>
  <si>
    <t xml:space="preserve">Support PMIC chip design expansion</t>
  </si>
  <si>
    <t xml:space="preserve">JCET (Jiangsu Changjiang Electronics)</t>
  </si>
  <si>
    <t xml:space="preserve">Acquisition / Equity</t>
  </si>
  <si>
    <t xml:space="preserve">¥2.031B</t>
  </si>
  <si>
    <t xml:space="preserve">Acquisition of STATS ChipPAC; elevating JCET to global top-tier OSAT</t>
  </si>
  <si>
    <t xml:space="preserve">Huatian Technology</t>
  </si>
  <si>
    <t xml:space="preserve">Capital injection to expand domestic OSAT operations</t>
  </si>
  <si>
    <t xml:space="preserve">SJ Semiconductor JV</t>
  </si>
  <si>
    <t xml:space="preserve">¥1.083B</t>
  </si>
  <si>
    <t xml:space="preserve">JV among SMIC, JCET, and Qualcomm; bumping/advanced packaging capacity</t>
  </si>
  <si>
    <t xml:space="preserve">TFME (Tongfu Microelectronics)</t>
  </si>
  <si>
    <t xml:space="preserve">¥1.8B</t>
  </si>
  <si>
    <t xml:space="preserve">Acquisition of AMD OSAT assets, expanding global footprint</t>
  </si>
  <si>
    <t xml:space="preserve">Jingfang Tech (WLCSP)</t>
  </si>
  <si>
    <t xml:space="preserve">¥680M</t>
  </si>
  <si>
    <t xml:space="preserve">Stake for expansion of wafer-level packaging operations</t>
  </si>
  <si>
    <t xml:space="preserve">TFME (Tongfu)</t>
  </si>
  <si>
    <t xml:space="preserve">¥969M</t>
  </si>
  <si>
    <t xml:space="preserve">Increased stake to 15.7%</t>
  </si>
  <si>
    <t xml:space="preserve">¥640M</t>
  </si>
  <si>
    <t xml:space="preserve">Additional stake, raising holding to 21.72%</t>
  </si>
  <si>
    <t xml:space="preserve">JCET</t>
  </si>
  <si>
    <t xml:space="preserve">¥2.9B</t>
  </si>
  <si>
    <t xml:space="preserve">Increased stake to 19% following STATS integration</t>
  </si>
  <si>
    <t xml:space="preserve">Taiji Industry</t>
  </si>
  <si>
    <t xml:space="preserve">¥949M</t>
  </si>
  <si>
    <t xml:space="preserve">Stake acquisition in semiconductor memory/testing business</t>
  </si>
  <si>
    <t xml:space="preserve">Xinhua Semiconductor</t>
  </si>
  <si>
    <t xml:space="preserve">JV with GCL Group for electronic-grade polysilicon production</t>
  </si>
  <si>
    <t xml:space="preserve">Shanghai Xinsheng Semiconductor</t>
  </si>
  <si>
    <t xml:space="preserve">¥309M</t>
  </si>
  <si>
    <t xml:space="preserve">12-inch wafer fab construction</t>
  </si>
  <si>
    <t xml:space="preserve">Anji Microelectronics</t>
  </si>
  <si>
    <t xml:space="preserve">¥5M</t>
  </si>
  <si>
    <t xml:space="preserve">R&amp;D and production of CMP slurry</t>
  </si>
  <si>
    <t xml:space="preserve">Darbond Technology</t>
  </si>
  <si>
    <t xml:space="preserve">¥22M</t>
  </si>
  <si>
    <t xml:space="preserve">High-performance thermal interface materials</t>
  </si>
  <si>
    <t xml:space="preserve">Jiangsu Yoke Technology</t>
  </si>
  <si>
    <t xml:space="preserve">¥550M</t>
  </si>
  <si>
    <t xml:space="preserve">Electronic gases and advanced deposition precursors</t>
  </si>
  <si>
    <t xml:space="preserve">Century Goldensun</t>
  </si>
  <si>
    <t xml:space="preserve">¥30M</t>
  </si>
  <si>
    <t xml:space="preserve">High-purity SiC material development</t>
  </si>
  <si>
    <t xml:space="preserve">AMEC (Advanced Micro-Fabrication Equipment Inc.)</t>
  </si>
  <si>
    <t xml:space="preserve">¥480M</t>
  </si>
  <si>
    <t xml:space="preserve">Etching equipment &amp; TSV process tool R&amp;D support</t>
  </si>
  <si>
    <t xml:space="preserve">Hangzhou ChangChuan Technology</t>
  </si>
  <si>
    <t xml:space="preserve">¥40M</t>
  </si>
  <si>
    <t xml:space="preserve">Stake in domestic IC testing equipment company</t>
  </si>
  <si>
    <t xml:space="preserve">Piotech Inc. (Shenyang)</t>
  </si>
  <si>
    <t xml:space="preserve">¥165M</t>
  </si>
  <si>
    <t xml:space="preserve">Support for domestic CVD/ALD deposition tool development</t>
  </si>
  <si>
    <t xml:space="preserve">NAURA (Sevenstar + North Micro JV)</t>
  </si>
  <si>
    <t xml:space="preserve">Support for merger creating major domestic equipment champion</t>
  </si>
  <si>
    <t xml:space="preserve">National IC Industry Investment Fund (Big Fund II)</t>
  </si>
  <si>
    <t xml:space="preserve">¥18B</t>
  </si>
  <si>
    <t xml:space="preserve">Expands national NAND memory fab capacity</t>
  </si>
  <si>
    <t xml:space="preserve">https://www.stcn.com/article/detail/806835.html?</t>
  </si>
  <si>
    <t xml:space="preserve">YMTC (HoldCo)</t>
  </si>
  <si>
    <t xml:space="preserve">¥12.9B</t>
  </si>
  <si>
    <t xml:space="preserve">Capital injection supporting YMTC strategic expansion</t>
  </si>
  <si>
    <t xml:space="preserve">ChangXin Memory</t>
  </si>
  <si>
    <t xml:space="preserve">¥14.56B</t>
  </si>
  <si>
    <t xml:space="preserve">Funds DRAM megaproject for domestic supply</t>
  </si>
  <si>
    <t xml:space="preserve">https://www.trendforce.com/news/2023/11/01/news-with-two-october-investments-big-fund-phase-ii-commits-nearly-19-billion-rmb/</t>
  </si>
  <si>
    <t xml:space="preserve">¥10.6B</t>
  </si>
  <si>
    <t xml:space="preserve">Builds 14nm FinFET production capacity domestically</t>
  </si>
  <si>
    <t xml:space="preserve">https://www1.hkexnews.hk/listedco/listconews/sehk/2020/0515/2020051502013.pdf</t>
  </si>
  <si>
    <t xml:space="preserve">SMIC Jingcheng</t>
  </si>
  <si>
    <t xml:space="preserve">¥8.5B</t>
  </si>
  <si>
    <t xml:space="preserve">Expands 28nm manufacturing capacity in Beijing</t>
  </si>
  <si>
    <t xml:space="preserve">https://www1.hkexnews.hk/listedco/listconews/sehk/2020/1204/2020120401701.pdf</t>
  </si>
  <si>
    <t xml:space="preserve">SMIC Dongfang</t>
  </si>
  <si>
    <t xml:space="preserve">¥5.7B</t>
  </si>
  <si>
    <t xml:space="preserve">Supports new Lingang 12-inch foundry project</t>
  </si>
  <si>
    <t xml:space="preserve">https://www1.hkexnews.hk/listedco/listconews/sehk/2021/1112/2021111200355.pdf</t>
  </si>
  <si>
    <t xml:space="preserve">Grows specialty semiconductor manufacturing in Wuxi</t>
  </si>
  <si>
    <t xml:space="preserve">https://www1.hkexnews.hk/listedco/listconews/sehk/2022/0809/2022080900029.pdf</t>
  </si>
  <si>
    <t xml:space="preserve">Huali Microelectronics</t>
  </si>
  <si>
    <t xml:space="preserve">¥7B</t>
  </si>
  <si>
    <t xml:space="preserve">Advances leading-edge logic fab development domestically</t>
  </si>
  <si>
    <t xml:space="preserve">https://www.design-reuse-embedded.com/news/202312027/china-s-big-fund-is-investing-1-billion-in-another-domestic-foundry-to-advance-sub-10nm-chip-manufacturing/</t>
  </si>
  <si>
    <t xml:space="preserve">Hua Hong Chengdu</t>
  </si>
  <si>
    <t xml:space="preserve">¥3.6B</t>
  </si>
  <si>
    <t xml:space="preserve">Revives Chengdu fab for local production</t>
  </si>
  <si>
    <t xml:space="preserve">https://www.eet-china.com/mp/a274579.html</t>
  </si>
  <si>
    <t xml:space="preserve">Chongqing Xinlian Micro</t>
  </si>
  <si>
    <t xml:space="preserve">¥2.155B</t>
  </si>
  <si>
    <t xml:space="preserve">Builds auto-focused specialty logic capacity regionally</t>
  </si>
  <si>
    <t xml:space="preserve">https://www.trendforce.com/news/2024/07/19/news-chinabig-fund-phase-ii-invested-in-a-fab-and-a-silicon-material-fab/</t>
  </si>
  <si>
    <t xml:space="preserve">Fuxin Semiconductor</t>
  </si>
  <si>
    <t xml:space="preserve">¥2.95B</t>
  </si>
  <si>
    <t xml:space="preserve">Establishes analog and power IDM facility</t>
  </si>
  <si>
    <t xml:space="preserve">https://m.cls.cn/detail/976237</t>
  </si>
  <si>
    <t xml:space="preserve">AMEC</t>
  </si>
  <si>
    <t xml:space="preserve">¥2.5B</t>
  </si>
  <si>
    <t xml:space="preserve">WFE; R&amp;D</t>
  </si>
  <si>
    <t xml:space="preserve">Expands domestic plasma etching tool production</t>
  </si>
  <si>
    <t xml:space="preserve">https://www.yicaiglobal.com/news/amec-soars-13-after-chinese-chip-gear-maker-bags-usd127-billion-in-private-placement-</t>
  </si>
  <si>
    <t xml:space="preserve">NAURA</t>
  </si>
  <si>
    <t xml:space="preserve">Strengthens national semiconductor equipment ecosystem capabilities</t>
  </si>
  <si>
    <t xml:space="preserve">https://www.yicaiglobal.com/news/chinese-chip-kit-maker-naura-closes-usd13-bln-private-placement-led-by-national-ic-fund</t>
  </si>
  <si>
    <t xml:space="preserve">Silan Jike</t>
  </si>
  <si>
    <t xml:space="preserve">Expands power IC 12-inch fabrication capacity</t>
  </si>
  <si>
    <t xml:space="preserve">https://www.stcn.com/article/detail/962281.html</t>
  </si>
  <si>
    <t xml:space="preserve">Silan Mingjia</t>
  </si>
  <si>
    <t xml:space="preserve">¥350M</t>
  </si>
  <si>
    <t xml:space="preserve">Advances GaN and SiC device production</t>
  </si>
  <si>
    <t xml:space="preserve">https://www.yicaiglobal.com/news/china-silan-soars-as-big-fund-phase-ii-plans-to-invest-usd95-million-in-its-chip-project</t>
  </si>
  <si>
    <t xml:space="preserve">Runxi Microelectronics</t>
  </si>
  <si>
    <t xml:space="preserve">¥1.65B</t>
  </si>
  <si>
    <t xml:space="preserve">Builds 12-inch automotive power foundry capacity</t>
  </si>
  <si>
    <t xml:space="preserve">https://www.trendforce.com/news/2021/07/13/an-overview-of-ic-design-and-equipment-suppliers-funded-by-chinas-big-fund-phase-two/</t>
  </si>
  <si>
    <t xml:space="preserve">Shennan Circuits</t>
  </si>
  <si>
    <t xml:space="preserve">¥300M</t>
  </si>
  <si>
    <t xml:space="preserve">Supports advanced IC packaging substrate lines</t>
  </si>
  <si>
    <t xml:space="preserve">https://www.yicaiglobal.com/news/shennan-circuits-gains-on-usd401-million-private-placement-led-by-huatai-big-fund-phase-ii</t>
  </si>
  <si>
    <t xml:space="preserve">Funds telecom chip R&amp;D and production</t>
  </si>
  <si>
    <t xml:space="preserve">https://www.zte.com.cn/content/dam/zte-site/investorrelations/en_announcement/e7904e4f6ee6f6ddbe02a35bf91fc6b1.pdf</t>
  </si>
  <si>
    <t xml:space="preserve">Unisoc</t>
  </si>
  <si>
    <t xml:space="preserve">¥2.25B</t>
  </si>
  <si>
    <t xml:space="preserve">Supports expansion of mobile chipset design</t>
  </si>
  <si>
    <t xml:space="preserve">https://equalocean.com/news/2020031713782</t>
  </si>
  <si>
    <t xml:space="preserve">Zhiwei Semiconductor</t>
  </si>
  <si>
    <t xml:space="preserve">¥~100M</t>
  </si>
  <si>
    <t xml:space="preserve">Expands domestic wet-clean equipment capacity significantly</t>
  </si>
  <si>
    <t xml:space="preserve">https://m.21jingji.com/article/20211019/herald/2a06894ffd5b4e79bf9cab14e49f7e19_zaker.html</t>
  </si>
  <si>
    <t xml:space="preserve">Sinsong Semiconductor</t>
  </si>
  <si>
    <t xml:space="preserve">¥~80M</t>
  </si>
  <si>
    <t xml:space="preserve">Builds robotics-based semiconductor automation systems infrastructure</t>
  </si>
  <si>
    <t xml:space="preserve">https://news.futunn.com/en/post/42251754/400-million-big-fund-phase-ii-beijing-integrated-circuit-m?level=1&amp;data_ticket=1764532183135816</t>
  </si>
  <si>
    <t xml:space="preserve">JCET Automotive Electronics</t>
  </si>
  <si>
    <t xml:space="preserve">¥~4B</t>
  </si>
  <si>
    <t xml:space="preserve">Funds auto-chip packaging and testing expansion</t>
  </si>
  <si>
    <t xml:space="preserve">Hua Hong Semiconductor (STAR IPO)</t>
  </si>
  <si>
    <t xml:space="preserve">¥≤3B</t>
  </si>
  <si>
    <t xml:space="preserve">Strategic investment for Sci-Tech IPO subscription</t>
  </si>
  <si>
    <t xml:space="preserve">https://www.trendforce.com/news/2023/11/01/news-with-two-october-investments-big-fund-phase-ii-commits-nearly-19-billion-rmb/; https://www.esmchina.com/news/10556.html</t>
  </si>
  <si>
    <t xml:space="preserve">Hua Hong / HHGrace Joint Venture</t>
  </si>
  <si>
    <t xml:space="preserve">¥8.2B</t>
  </si>
  <si>
    <t xml:space="preserve">Supports 12-inch fab joint-venture development</t>
  </si>
  <si>
    <t xml:space="preserve">https://www.trendforce.com/news/2023/11/01/news-with-two-october-investments-big-fund-phase-ii-commits-nearly-19-billion-rmb/; https://www1.hkexnews.hk/listedco/listconews/sehk/2023/0118/2023011800483.pdf</t>
  </si>
  <si>
    <t xml:space="preserve">Xiamen Silan Advanced Compound Semiconductor</t>
  </si>
  <si>
    <t xml:space="preserve">¥1.2B</t>
  </si>
  <si>
    <t xml:space="preserve">Invests in 6-inch SiC device production</t>
  </si>
  <si>
    <t xml:space="preserve">Runpeng Semiconductor (CR Micro subsidiary)</t>
  </si>
  <si>
    <t xml:space="preserve">¥3.75B</t>
  </si>
  <si>
    <t xml:space="preserve">Expands power-semiconductor fab capacity significantly</t>
  </si>
  <si>
    <t xml:space="preserve">National IC Industry Investment Fund (Big Fund III)</t>
  </si>
  <si>
    <t xml:space="preserve">TuoJing JianKe (Haining) Semiconductor Equipment Co., Ltd.</t>
  </si>
  <si>
    <t xml:space="preserve">¥450M</t>
  </si>
  <si>
    <t xml:space="preserve">Invests in 3D integration equipment developer</t>
  </si>
  <si>
    <t xml:space="preserve">https://www.trendforce.com/news/2025/10/31/... 12</t>
  </si>
  <si>
    <t xml:space="preserve">Nantong Crystal Co., Ltd. (synthetic quartz materials)</t>
  </si>
  <si>
    <t xml:space="preserve">¥100M</t>
  </si>
  <si>
    <t xml:space="preserve">Equity stake in photomask quartz material firm</t>
  </si>
  <si>
    <t xml:space="preserve">https://www.trendforce.com/news/2025/11/05/... 11</t>
  </si>
  <si>
    <t xml:space="preserve">Subsidies for Chip Design Projects</t>
  </si>
  <si>
    <t xml:space="preserve">NT$1.3B</t>
  </si>
  <si>
    <t xml:space="preserve">Subsidy for 28 IC design businesses / startups</t>
  </si>
  <si>
    <t xml:space="preserve">https://www.taiwannews.com.tw/news/6251837</t>
  </si>
  <si>
    <t xml:space="preserve">Kioxia &amp; Western Digital – 3D NAND flash expansion</t>
  </si>
  <si>
    <t xml:space="preserve">2022-2023</t>
  </si>
  <si>
    <t xml:space="preserve">¥92.9B</t>
  </si>
  <si>
    <t xml:space="preserve">Subsidy for 3D NAND flash memory fab expansion (Yokkaichi plant)</t>
  </si>
  <si>
    <t xml:space="preserve">Kioxia &amp; Western Digital – 3D NAND flash (additional)</t>
  </si>
  <si>
    <t xml:space="preserve">¥150B</t>
  </si>
  <si>
    <t xml:space="preserve">Second subsidy for Kioxia/WD to boost 3D NAND flash production (e.g. new fab)</t>
  </si>
  <si>
    <t xml:space="preserve">Rohm &amp; Toshiba – SiC and silicon power semiconductors</t>
  </si>
  <si>
    <t xml:space="preserve">¥129.4B</t>
  </si>
  <si>
    <t xml:space="preserve">Dual fabs, 10-year ops rule</t>
  </si>
  <si>
    <t xml:space="preserve">https://www.digitimes.com/news/a20241202PD206/sic-fuji-electric-denso-production-subsidy.html#:~:text=Partnership%20targets%20EV%20market%20expansion; https://www.argusmedia.com/ja/news-and-insights/latest-market-news/2517179-japan-grants-subsidies-to-secure-semiconductor-supplies</t>
  </si>
  <si>
    <t xml:space="preserve">Denso &amp; Fuji Electric – SiC power semiconductor JV</t>
  </si>
  <si>
    <t xml:space="preserve">¥70.5B</t>
  </si>
  <si>
    <t xml:space="preserve">EV-focused joint chip fab</t>
  </si>
  <si>
    <t xml:space="preserve">https://www.digitimes.com/news/a20241202PD206/sic-fuji-electric-denso-production-subsidy.html#:~:text=Partnership%20targets%20EV%20market%20expansion</t>
  </si>
  <si>
    <t xml:space="preserve">Toyo Gosei – Photoresist &amp; high-purity solvent production</t>
  </si>
  <si>
    <t xml:space="preserve">Boost domestic materials supply</t>
  </si>
  <si>
    <t xml:space="preserve">https://jp.reuters.com/business/technology/MWCK2SB2CRIRXH2A7KNTVMLTGU-2024-11-29/#:~:text=%E3%81%93%E3%81%AE%E3%81%BB%E3%81%8B%E3%80%81%E6%9D%B1%E6%B4%8B%E5%90%88%E6%88%90%E5%B7%A5%E6%A5%AD%284970,%E3%81%AE%E6%84%9F%E5%85%89%E6%9D%90%E3%83%BB%E3%83%9D%E3%83%AA%E3%83%9E%E2%80%95%E3%80%81%E9%AB%98%E7%B4%94%E5%BA%A6%E6%BA%B6%E5%89%A4%E3%81%AB%EF%BC%97%EF%BC%90%E5%84%84%E5%86%86%E3%80%81%E9%9B%BB%E5%AD%90%E9%83%A8%E5%93%81%E3%81%A7%E3%81%AF%E6%9D%91%E7%94%B0%E8%A3%BD%E4%BD%9C%E6%89%80%2060%E3%81%AE%EF%BC%A2%EF%BC%A1%EF%BC%B7%E3%83%95%E3%82%A3%E3%83%AB%E3%82%BF%E3%81%AB%EF%BC%95%EF%BC%94%E5%84%84%E5%86%86%E3%81%AA%E3%81%A9%E3%81%8C%E5%85%A5%E3%81%A3%E3%81%A6%E3%81%84%E3%82%8B%E3%80%82%E6%98%A8%E5%B9%B4%E5%BA%A6%E3%81%AE%E8%A3%9C%E6%AD%A3%E4%BA%88%E7%AE%97%E3%81%8B%E3%82%89%E3%81%AE%E6%8B%A0%E5%87%BA%E3%81%A8%E3%81%AA%E3%82%8B%E3%80%82</t>
  </si>
  <si>
    <t xml:space="preserve">Murata Manufacturing – BAW RF filters</t>
  </si>
  <si>
    <t xml:space="preserve">¥5.4B</t>
  </si>
  <si>
    <t xml:space="preserve">Expand RF filter capacity</t>
  </si>
  <si>
    <t xml:space="preserve">Rapidus Grant One</t>
  </si>
  <si>
    <t xml:space="preserve">¥590B</t>
  </si>
  <si>
    <t xml:space="preserve">R&amp;D; Fabrication; APT</t>
  </si>
  <si>
    <t xml:space="preserve">R&amp;D; additional fab; packaging</t>
  </si>
  <si>
    <t xml:space="preserve">http://reuters.com/technology/japan-approves-39-billion-subsidies-chipmaker-rapidus-2024-04-02/#:~:text=TOKYO%2C%20April%202%20%28Reuters%29%20,the%20country%27s%20chip%20manufacturing%20base</t>
  </si>
  <si>
    <t xml:space="preserve">Micron Hiroshima DRAM Fab Investment 1</t>
  </si>
  <si>
    <t xml:space="preserve">2022-2027</t>
  </si>
  <si>
    <t xml:space="preserve">¥46.5B</t>
  </si>
  <si>
    <t xml:space="preserve">Subsidy for advcanced DRAM Investment</t>
  </si>
  <si>
    <t xml:space="preserve">https://www.meti.go.jp/english/policy/0704_001.pdf#:~:text=%E2%9C%93Advanced%203D%20NAND%20Flash%20Memory,1%CE%B2%29%20Investment</t>
  </si>
  <si>
    <t xml:space="preserve">Micron Hiroshima EUV DRAM Fab Investment</t>
  </si>
  <si>
    <t xml:space="preserve">¥167B</t>
  </si>
  <si>
    <t xml:space="preserve">Subsidy for advanced DRAM fab including EUV lithography</t>
  </si>
  <si>
    <t xml:space="preserve">EdgeCortix Post 5-G Communication Systems</t>
  </si>
  <si>
    <t xml:space="preserve">¥4B</t>
  </si>
  <si>
    <t xml:space="preserve">R&amp;D; Compound</t>
  </si>
  <si>
    <t xml:space="preserve">Subsidy for energy-efficient AI connectivity chiplets</t>
  </si>
  <si>
    <t xml:space="preserve">https://www.edgecortix.com/en/press-releases/edgecortix-receives-4-billion-yen-subsidy-from-japans-nedo#:~:text=Tokyo%2C%20Japan%20,communications%20with%20unprecedented%20energy%20efficiency</t>
  </si>
  <si>
    <t xml:space="preserve">Rebellion Grant</t>
  </si>
  <si>
    <t xml:space="preserve">2023</t>
  </si>
  <si>
    <t xml:space="preserve">₩10B</t>
  </si>
  <si>
    <t xml:space="preserve">Grant to NVIDIA competitor startup</t>
  </si>
  <si>
    <t xml:space="preserve">https://www.reuters.com/technology/skorea-aims-join-ai-race-startup-rebellions-launches-new-chip-2023-02-12/#:~:text=%22Amid%20high%20dependence%20on%20foreign,from%20the%20South%20Korean%20government.&amp;text=Reports%20on%20global%20trends%20in,goal%20of%20grasping%20quantum%20physics.</t>
  </si>
  <si>
    <t xml:space="preserve">STMicroelectronics Recovery Subsidy</t>
  </si>
  <si>
    <t xml:space="preserve">2022-2026</t>
  </si>
  <si>
    <t xml:space="preserve">€292.5M</t>
  </si>
  <si>
    <t xml:space="preserve">Integrated SiC substrate Fab</t>
  </si>
  <si>
    <t xml:space="preserve">https://ec.europa.eu/commission/presscorner/api/files/document/print/en/ip_22_5970/IP_22_5970_EN.pdf?</t>
  </si>
  <si>
    <t xml:space="preserve">Silicon Box - APT facility</t>
  </si>
  <si>
    <t xml:space="preserve">€1.3B</t>
  </si>
  <si>
    <t xml:space="preserve">Advanced packaging facility in Italy</t>
  </si>
  <si>
    <t xml:space="preserve">https://ec.europa.eu/commission/presscorner/api/files/document/print/en/ip_24_6436/IP_24_6436_EN.pdf</t>
  </si>
  <si>
    <t xml:space="preserve">Infineon Dresden</t>
  </si>
  <si>
    <t xml:space="preserve">€920M</t>
  </si>
  <si>
    <t xml:space="preserve">200 &amp; 300 mm Fab</t>
  </si>
  <si>
    <t xml:space="preserve">https://www.infineon.com/press-release/2025/infxx202502-058</t>
  </si>
  <si>
    <t xml:space="preserve">ams Osram Wafer Manufacturing</t>
  </si>
  <si>
    <t xml:space="preserve">€227M</t>
  </si>
  <si>
    <t xml:space="preserve">Wafer manufacturing facility in Premstatten</t>
  </si>
  <si>
    <t xml:space="preserve">https://ec.europa.eu/commission/presscorner/api/files/document/print/et/ip_25_589/IP_25_589_EN.pdf</t>
  </si>
  <si>
    <t xml:space="preserve">Onsemi SiC Facility Expansion</t>
  </si>
  <si>
    <t xml:space="preserve">Czechia</t>
  </si>
  <si>
    <t xml:space="preserve">€450M</t>
  </si>
  <si>
    <t xml:space="preserve">SiC power devices facility</t>
  </si>
  <si>
    <t xml:space="preserve">https://ec.europa.eu/commission/presscorner/detail/de/ip_25_2757</t>
  </si>
  <si>
    <t xml:space="preserve">GlobalFoundries Dresden</t>
  </si>
  <si>
    <t xml:space="preserve">€495M</t>
  </si>
  <si>
    <t xml:space="preserve">300mm fabrication facility</t>
  </si>
  <si>
    <t xml:space="preserve">https://europa.eu/newsroom/ecpc-failover/pdf/ip-25-3020_en.pdf</t>
  </si>
  <si>
    <t xml:space="preserve">X-FAB Erfurt</t>
  </si>
  <si>
    <t xml:space="preserve">€128M</t>
  </si>
  <si>
    <t xml:space="preserve">Open foundry for enterprises</t>
  </si>
  <si>
    <t xml:space="preserve">German Federal aid (BMWi) – GlobalFoundries Dresden</t>
  </si>
  <si>
    <t xml:space="preserve">2018-2024</t>
  </si>
  <si>
    <t xml:space="preserve">~€325M</t>
  </si>
  <si>
    <t xml:space="preserve">FD-SOI/RF 300mm R&amp;D Dresden fab</t>
  </si>
  <si>
    <t xml:space="preserve">https://ec.europa.eu/competition/state_aid/cases1/201952/277354_2120329_283_2.pdf#:~:text=%28a%29%20CEA,Information%20and%20Communication%20Technology%2C%20Advanced</t>
  </si>
  <si>
    <t xml:space="preserve">German Federal aid (BMWi) – Infineon Germany</t>
  </si>
  <si>
    <t xml:space="preserve">~€160M</t>
  </si>
  <si>
    <t xml:space="preserve">300mm power fab; GaN RF R&amp;D</t>
  </si>
  <si>
    <t xml:space="preserve">Austria nat’l aid (BMK/BMDW) – Infineon Austria</t>
  </si>
  <si>
    <t xml:space="preserve">Austria</t>
  </si>
  <si>
    <t xml:space="preserve">(part of €146.5M AT package)</t>
  </si>
  <si>
    <t xml:space="preserve">Villach 300mm power fab expansion</t>
  </si>
  <si>
    <t xml:space="preserve">German Federal aid (BMWi) – Bosch Germany</t>
  </si>
  <si>
    <t xml:space="preserve">~€252M</t>
  </si>
  <si>
    <t xml:space="preserve">Dresden sensors fab; MEMS/imagers R&amp;D</t>
  </si>
  <si>
    <t xml:space="preserve">German Federal aid (BMWi) – X-FAB Germany</t>
  </si>
  <si>
    <t xml:space="preserve">~€100M</t>
  </si>
  <si>
    <t xml:space="preserve">Erfurt analog foundry upgrades; SiC/GaN</t>
  </si>
  <si>
    <t xml:space="preserve">French nat’l aid (DGE) – X-FAB France</t>
  </si>
  <si>
    <t xml:space="preserve">(part of FR package)</t>
  </si>
  <si>
    <t xml:space="preserve">Corbeil 200mm specialty analog/MEMS automotive</t>
  </si>
  <si>
    <t xml:space="preserve">German Federal aid (BMWi) – Carl Zeiss AG</t>
  </si>
  <si>
    <t xml:space="preserve">~€90M</t>
  </si>
  <si>
    <t xml:space="preserve">High-NA EUV lithography optics development</t>
  </si>
  <si>
    <t xml:space="preserve">German Federal aid (BMWi) – AMTC Dresden</t>
  </si>
  <si>
    <t xml:space="preserve">~€60M</t>
  </si>
  <si>
    <t xml:space="preserve">Materials; R&amp;D</t>
  </si>
  <si>
    <t xml:space="preserve">EUV mask tech via AMTC Dresden</t>
  </si>
  <si>
    <t xml:space="preserve">French nat’l aid – STMicroelectronics France</t>
  </si>
  <si>
    <t xml:space="preserve">MEMS/imaging mixed-signal R&amp;D Crolles/Grenoble</t>
  </si>
  <si>
    <t xml:space="preserve">Italian nat’l aid – STMicroelectronics Italy</t>
  </si>
  <si>
    <t xml:space="preserve">(part of IT package)</t>
  </si>
  <si>
    <t xml:space="preserve">Agrate 300mm power/analog; sensors R&amp;D</t>
  </si>
  <si>
    <t xml:space="preserve">UK national aid – IQE plc</t>
  </si>
  <si>
    <t xml:space="preserve">(part of UK package)</t>
  </si>
  <si>
    <t xml:space="preserve">Materials; Fabrication</t>
  </si>
  <si>
    <t xml:space="preserve">Compound epi-wafer production South Wales</t>
  </si>
  <si>
    <t xml:space="preserve">UK national aid – Integrated Compound Semiconductors</t>
  </si>
  <si>
    <t xml:space="preserve">RF/optical compound devices South Wales</t>
  </si>
  <si>
    <t xml:space="preserve">UK national aid – Newport Wafer Fab</t>
  </si>
  <si>
    <t xml:space="preserve">Open-access 200mm silicon/compound fab Newport</t>
  </si>
  <si>
    <t xml:space="preserve">UK national aid – SPTS Technologies</t>
  </si>
  <si>
    <t xml:space="preserve">Etch/PVD/CVD tools for compound fabs</t>
  </si>
  <si>
    <t xml:space="preserve">French nat’l aid – Lynred</t>
  </si>
  <si>
    <t xml:space="preserve">Infrared detectors for defense/space/auto</t>
  </si>
  <si>
    <t xml:space="preserve">German Federal aid (BMWi) – TDK-Micronas</t>
  </si>
  <si>
    <t xml:space="preserve">~€20M</t>
  </si>
  <si>
    <t xml:space="preserve">Hall/magnetic sensors for automotive/industrial</t>
  </si>
  <si>
    <t xml:space="preserve">German Federal aid (BMBF) – CorTec GmbH</t>
  </si>
  <si>
    <t xml:space="preserve">~€3.6M</t>
  </si>
  <si>
    <t xml:space="preserve">MEMS neural implant arrays; Freiburg cleanroom</t>
  </si>
  <si>
    <t xml:space="preserve">German Federal aid (BMBF) – Cologne Chip AG</t>
  </si>
  <si>
    <t xml:space="preserve">~€1–2M</t>
  </si>
  <si>
    <t xml:space="preserve">European FPGA development; telecom IP cores</t>
  </si>
  <si>
    <t xml:space="preserve">German Federal aid (BMBF) – Racyics GmbH</t>
  </si>
  <si>
    <t xml:space="preserve">SoC/IP services for ultra-low-power chips</t>
  </si>
  <si>
    <t xml:space="preserve">German Federal aid (BMWi) – SEMIKRON</t>
  </si>
  <si>
    <t xml:space="preserve">Power modules for EV inverters/industrial drives</t>
  </si>
  <si>
    <t xml:space="preserve">French nat’l aid – Soitec SA</t>
  </si>
  <si>
    <t xml:space="preserve">SOI/GaN-on-Si substrates for lower power</t>
  </si>
  <si>
    <t xml:space="preserve">French nat’l support – CEA-Leti</t>
  </si>
  <si>
    <t xml:space="preserve">n/a</t>
  </si>
  <si>
    <t xml:space="preserve">Cross-cutting applied research across workstreams</t>
  </si>
  <si>
    <t xml:space="preserve">Italian nat’l support – FBK</t>
  </si>
  <si>
    <t xml:space="preserve">MEMS/materials characterization support Trento</t>
  </si>
  <si>
    <t xml:space="preserve">Dutch national aid (EZK) – ASML</t>
  </si>
  <si>
    <t xml:space="preserve">Undisclosed</t>
  </si>
  <si>
    <t xml:space="preserve">High-NA EUV scanner R&amp;D for sub-2nm</t>
  </si>
  <si>
    <t xml:space="preserve">https://ec.europa.eu/competition/state_aid/cases1/202417/SA_101129_A0FF058F-0100-C611-9E6D-800FDA995039_1165_1.pdf#:~:text=1.%20AT%26S%20,50%20%E2%80%93%2060</t>
  </si>
  <si>
    <t xml:space="preserve">French nat’l aid – Airbus</t>
  </si>
  <si>
    <t xml:space="preserve">Secure comms/radar/space chips R&amp;D</t>
  </si>
  <si>
    <t xml:space="preserve">German Fed. aid (BMWK) – Ericsson Antenna Tech</t>
  </si>
  <si>
    <t xml:space="preserve">2023-2028</t>
  </si>
  <si>
    <t xml:space="preserve">6G Massive-MIMO antenna microelectronics R&amp;D</t>
  </si>
  <si>
    <t xml:space="preserve">German Fed. aid (BMWK) – Nokia Bell Labs Germany</t>
  </si>
  <si>
    <t xml:space="preserve">part of €360M project</t>
  </si>
  <si>
    <t xml:space="preserve">HW/SW/SoC co-design for 5G-A/6G</t>
  </si>
  <si>
    <t xml:space="preserve">German Fed. aid (BMWK) – Wacker Chemie</t>
  </si>
  <si>
    <t xml:space="preserve">Wafer-grade polysilicon line; €300M investment</t>
  </si>
  <si>
    <t xml:space="preserve">German Fed. aid (BMWK) – Bosch</t>
  </si>
  <si>
    <t xml:space="preserve">Compound; R&amp;D</t>
  </si>
  <si>
    <t xml:space="preserve">SiC, radar, automotive IC R&amp;D</t>
  </si>
  <si>
    <t xml:space="preserve">French nat’l aid – Renault Group</t>
  </si>
  <si>
    <t xml:space="preserve">In-house auto chips for EV/ADAS</t>
  </si>
  <si>
    <t xml:space="preserve">French nat’l aid – Orange</t>
  </si>
  <si>
    <t xml:space="preserve">Open RAN/6G integration; operator use-cases</t>
  </si>
  <si>
    <t xml:space="preserve">German/Bavarian aid – ESMC Dresden JV</t>
  </si>
  <si>
    <t xml:space="preserve">TSMC-Bosch-Infineon-NXP Dresden 300mm fab</t>
  </si>
  <si>
    <t xml:space="preserve">Austrian nat’l aid (BMK/BMAW) – NXP Austria (Think)</t>
  </si>
  <si>
    <t xml:space="preserve">share of €175M AT</t>
  </si>
  <si>
    <t xml:space="preserve">Secure RISC-V, PQC; safe EV BMS</t>
  </si>
  <si>
    <t xml:space="preserve">Austrian nat’l aid (BMK/BMAW) – NXP Austria (Sense)</t>
  </si>
  <si>
    <t xml:space="preserve">UWB radar, sensor fusion for ADAS/IoT</t>
  </si>
  <si>
    <t xml:space="preserve">Austrian nat’l aid (BMK/BMAW) – AVL List</t>
  </si>
  <si>
    <t xml:space="preserve">~€50M</t>
  </si>
  <si>
    <t xml:space="preserve">Chip test tools for EV sensors/power</t>
  </si>
  <si>
    <t xml:space="preserve">Slovak nat’l aid – Tachyum</t>
  </si>
  <si>
    <t xml:space="preserve">Slovakia</t>
  </si>
  <si>
    <t xml:space="preserve">€26.4M</t>
  </si>
  <si>
    <t xml:space="preserve">Prodigy 2 universal processor; 3nm target</t>
  </si>
  <si>
    <t xml:space="preserve">Auto MCUs + SiC/GaN power R&amp;D</t>
  </si>
  <si>
    <t xml:space="preserve">French nat’l aid – Soitec</t>
  </si>
  <si>
    <t xml:space="preserve">New SOI/piezo substrates for 5G/6G</t>
  </si>
  <si>
    <t xml:space="preserve">German Fed. aid (BMWK) – Continental Automotive</t>
  </si>
  <si>
    <t xml:space="preserve">Power modules/sensors for EV/autonomy</t>
  </si>
  <si>
    <t xml:space="preserve">Czech nat’l aid – Mycroft Mind</t>
  </si>
  <si>
    <t xml:space="preserve">AI-enhanced sensor systems; Czech SME</t>
  </si>
  <si>
    <t xml:space="preserve">Czech nat’l aid – TES (TBD)</t>
  </si>
  <si>
    <t xml:space="preserve">N/A</t>
  </si>
  <si>
    <t xml:space="preserve">Second CZ participant; details not public</t>
  </si>
  <si>
    <t xml:space="preserve">Irish nat’l aid (IDA) – Analog Devices Ireland</t>
  </si>
  <si>
    <t xml:space="preserve">Ireland</t>
  </si>
  <si>
    <t xml:space="preserve">est. ~€100M</t>
  </si>
  <si>
    <t xml:space="preserve">Limerick automation modules for analog/mixed-signal</t>
  </si>
  <si>
    <t xml:space="preserve">Finnish nat’l aid – VTT / Nokia (beneficiary TBD)</t>
  </si>
  <si>
    <t xml:space="preserve">Finland</t>
  </si>
  <si>
    <t xml:space="preserve">Likely 6G + quantum R&amp;D project</t>
  </si>
  <si>
    <t xml:space="preserve">Romanian nat’l aid – NXP Romania</t>
  </si>
  <si>
    <t xml:space="preserve">Romania</t>
  </si>
  <si>
    <t xml:space="preserve">Bucharest design expansion; secure IIoT/edge</t>
  </si>
  <si>
    <t xml:space="preserve">Greek nat’l aid – Think Silicon (likely)</t>
  </si>
  <si>
    <t xml:space="preserve">Greece</t>
  </si>
  <si>
    <t xml:space="preserve">Likely low-power GPU IP R&amp;D Patras</t>
  </si>
  <si>
    <t xml:space="preserve">French/German nat’l aid – TRUMPF &amp; partners (likely)</t>
  </si>
  <si>
    <t xml:space="preserve">Germany/France</t>
  </si>
  <si>
    <t xml:space="preserve">Laser light-source tech supporting EUV roadmap</t>
  </si>
  <si>
    <t xml:space="preserve">France 2030 (PIIEC microélectronique) – 12 consortia</t>
  </si>
  <si>
    <t xml:space="preserve">Compound</t>
  </si>
  <si>
    <t xml:space="preserve">12 consortia across chips, sensors, 5G/6G</t>
  </si>
  <si>
    <t xml:space="preserve">https://presse.economie.gouv.fr/08062023-cp-france-2030-12-projets-francais-structurants-en-microelectronique-et-connectivite-ont-ete-valides-par-la-commission-europeenne/#:~:text=Port%C3%A9s%20par%20Airbus%2C%20Aledia%2C%20Continental%2C,solutions%20pour%20les%20communications%20critiques</t>
  </si>
  <si>
    <t xml:space="preserve">STMicroelectronics &amp; GlobalFoundries</t>
  </si>
  <si>
    <t xml:space="preserve">€2.9B</t>
  </si>
  <si>
    <t xml:space="preserve">Crolles 300mm fab for FD-SOI chips</t>
  </si>
  <si>
    <t xml:space="preserve">https://presse.economie.gouv.fr/05062023-bruno-le-maire-annonce-le-debut-de-la-production-de-la-mega-usine-de-semi-conducteurs-portee-par-globalfoundries-et-stmicroelectronics-a-crolles-et-signe-le-contrat-daide-de-letat-au-projet/#:~:text=L%E2%80%99investissement%20total%20de%20ce%20projet%2C,sera%20rembours%C3%A9e%20aux%20autorit%C3%A9s%20publiques</t>
  </si>
  <si>
    <t xml:space="preserve">Soitec (+CEA)</t>
  </si>
  <si>
    <t xml:space="preserve">~€120M</t>
  </si>
  <si>
    <t xml:space="preserve">SmartSiC SiC substrate fab; power electronics</t>
  </si>
  <si>
    <t xml:space="preserve">https://www.eetimes.com/soitecs-smartsic-to-hit-the-road-in-2024/#:~:text=Only%20four%20years%20will%20have,press%20conference%20before%20the%20ceremony.</t>
  </si>
  <si>
    <t xml:space="preserve">Renatech &amp; CEA-Leti</t>
  </si>
  <si>
    <t xml:space="preserve">€39M</t>
  </si>
  <si>
    <t xml:space="preserve">Cleanroom tools upgrades; PNFC lab equipment</t>
  </si>
  <si>
    <t xml:space="preserve">https://www.info.gouv.fr/upload/media/organization/0001/01/sites_default_files_contenu_piece-jointe_2022_07_22_-_dossier_de_presse_-_electronique_2030.pdf#:~:text=39%20millions%20d%E2%80%99euros%20de%20France,47%20millions</t>
  </si>
  <si>
    <t xml:space="preserve">9 Collaborative R&amp;D projects</t>
  </si>
  <si>
    <t xml:space="preserve">€47M</t>
  </si>
  <si>
    <t xml:space="preserve">Components/telecom/power/computing research</t>
  </si>
  <si>
    <t xml:space="preserve">Training Bodies</t>
  </si>
  <si>
    <t xml:space="preserve">€50M</t>
  </si>
  <si>
    <t xml:space="preserve">Electronics workforce training pipeline</t>
  </si>
  <si>
    <t xml:space="preserve">https://www.info.gouv.fr/upload/media/organization/0001/01/sites_default_files_contenu_piece-jointe_2022_07_22_-_dossier_de_presse_-_electronique_2030.pdf#:~:text=50%20millions%20d%E2%80%99euros%20pour%20soutenir,de%20formation%20pour%20alimenter%20les</t>
  </si>
  <si>
    <t xml:space="preserve">STMicroelectronics R&amp;D program</t>
  </si>
  <si>
    <t xml:space="preserve">2014-2019</t>
  </si>
  <si>
    <t xml:space="preserve">€360.1M</t>
  </si>
  <si>
    <t xml:space="preserve">FD-SOI, imaging, embedded NVM R&amp;D</t>
  </si>
  <si>
    <t xml:space="preserve">https://globaltradealert.org/intervention/88744#:~:text=On%2025%20June%202014%2C%20the,project%2C%20oriented%20at%20de</t>
  </si>
  <si>
    <t xml:space="preserve">Auvergne-Rhône-Alpes regional R&amp;D support</t>
  </si>
  <si>
    <t xml:space="preserve">€35M</t>
  </si>
  <si>
    <t xml:space="preserve">Grenoble micro/nanoelectronics ecosystem R&amp;D</t>
  </si>
  <si>
    <t xml:space="preserve">https://www.minatec.org/en/nano-2022-e35-million-earmarked-for-nanotechnology-rd/#:~:text=In%20late%202018%20the%20Auvergne,and%20compound%20semiconductors%20for%20microelectronics</t>
  </si>
  <si>
    <t xml:space="preserve">X-Fab France</t>
  </si>
  <si>
    <t xml:space="preserve">2019-2022</t>
  </si>
  <si>
    <t xml:space="preserve">Corbeil 200mm analog/mixed-signal platform</t>
  </si>
  <si>
    <t xml:space="preserve">https://minefi.hosting.augure.com/Augure_Minefi/r/ContenuEnLigne/Download?id=5829DDFB-3F26-44F7-A826-F46C47F333C7&amp;filename=1097%20-%20CP%20Grenoble.pdf#:~:text=Pour%20Rudi%20de%20Winter%2C%20pr%C3%A9sident,indirect%20en%20Ile%20de%20France</t>
  </si>
  <si>
    <t xml:space="preserve">UMS “Smart3” project</t>
  </si>
  <si>
    <t xml:space="preserve">€25M</t>
  </si>
  <si>
    <t xml:space="preserve">R&amp;D; APT</t>
  </si>
  <si>
    <t xml:space="preserve">RF SiP R&amp;D; GaN + silicon integration</t>
  </si>
  <si>
    <t xml:space="preserve">https://minefi.hosting.augure.com/Augure_Minefi/r/ContenuEnLigne/Download?id=5829DDFB-3F26-44F7-A826-F46C47F333C7&amp;filename=1097%20-%20CP%20Grenoble.pdf#:~:text=d%E2%80%99une%20ligne%20pilote%20industrielle%20permettant,v%C3%A9hicules%20autonomes%2C%20radars%20multifonction%2C%20constellation</t>
  </si>
  <si>
    <t xml:space="preserve">Murata Integrated Passive Solutions project</t>
  </si>
  <si>
    <t xml:space="preserve">≈€40M</t>
  </si>
  <si>
    <t xml:space="preserve">Miniaturized passives R&amp;D + pilot production</t>
  </si>
  <si>
    <t xml:space="preserve">https://minefi.hosting.augure.com/Augure_Minefi/r/ContenuEnLigne/Download?id=5829DDFB-3F26-44F7-A826-F46C47F333C7&amp;filename=1097%20-%20CP%20Grenoble.pdf#:~:text=avec%20un%20plan%20d%27investissement%20industriel,80%20nouveaux%20emplois%20industriels%20qualifi%C3%A9s</t>
  </si>
  <si>
    <t xml:space="preserve">CEA-Leti infrastructure/R&amp;D</t>
  </si>
  <si>
    <t xml:space="preserve">€120M</t>
  </si>
  <si>
    <t xml:space="preserve">Leti facilities + pilot lines for industry</t>
  </si>
  <si>
    <t xml:space="preserve">https://minefi.hosting.augure.com/Augure_Minefi/r/ContenuEnLigne/Download?id=5829DDFB-3F26-44F7-A826-F46C47F333C7&amp;filename=1097%20-%20CP%20Grenoble.pdf#:~:text=%22Le%20CEA,chaque%20ann%C3%A9e%20plusieurs%20centaines%20de</t>
  </si>
  <si>
    <t xml:space="preserve">Quinas ULTRARAM epitaxy scaleup</t>
  </si>
  <si>
    <t xml:space="preserve">£680K</t>
  </si>
  <si>
    <t xml:space="preserve">Award winners: Quinas Technology Ltd; Cardiff University; IQE PLC; Lancaster University</t>
  </si>
  <si>
    <t xml:space="preserve">https://www.ukri.org/news/11-5m-to-improve-semiconductor-manufacturing-and-supply-chains/</t>
  </si>
  <si>
    <t xml:space="preserve">Quantum Advanced QSens scaleup</t>
  </si>
  <si>
    <t xml:space="preserve">£1.2M</t>
  </si>
  <si>
    <t xml:space="preserve">Award winners: Quantum Advanced Solutions Ltd; University of Cambridge</t>
  </si>
  <si>
    <t xml:space="preserve">Lightricity UK packaging capability</t>
  </si>
  <si>
    <t xml:space="preserve">£560K</t>
  </si>
  <si>
    <t xml:space="preserve">Award winners: Lightricity Ltd; Alter Technology TUV NORD UK Ltd</t>
  </si>
  <si>
    <t xml:space="preserve">Compound Semi Centre InP</t>
  </si>
  <si>
    <t xml:space="preserve">£410K</t>
  </si>
  <si>
    <t xml:space="preserve">Photonics</t>
  </si>
  <si>
    <t xml:space="preserve">Award winners: Compound Semiconductor Centre Ltd; Ffotoneg Ltd; SPTS Technologies Ltd; Cardiff University</t>
  </si>
  <si>
    <t xml:space="preserve">Flexciton wafer-fab efficiency automation</t>
  </si>
  <si>
    <t xml:space="preserve">£1.0M</t>
  </si>
  <si>
    <t xml:space="preserve">WFE; Fabrication</t>
  </si>
  <si>
    <t xml:space="preserve">Award winners: Flexciton Ltd; Seagate Technology Ireland. UKRI describes this as a “12-month project.”</t>
  </si>
  <si>
    <t xml:space="preserve">Phlux avalanche photodiodes scaleup</t>
  </si>
  <si>
    <t xml:space="preserve">£830K</t>
  </si>
  <si>
    <t xml:space="preserve">Award winners: Phlux Technology Ltd; Sivers Photonicss Ltd; University of Sheffield; Hilight Semiconductor Ltd</t>
  </si>
  <si>
    <t xml:space="preserve">Minviro RESiLABLE impact calculator</t>
  </si>
  <si>
    <t xml:space="preserve">£256K</t>
  </si>
  <si>
    <t xml:space="preserve">WFE; Materials</t>
  </si>
  <si>
    <t xml:space="preserve">Award winners: Minviro Ltd; Swansea University</t>
  </si>
  <si>
    <t xml:space="preserve">Irresistible Materials High-NA photoresists</t>
  </si>
  <si>
    <t xml:space="preserve">£1.7M</t>
  </si>
  <si>
    <t xml:space="preserve">Award winners: Irresistible Materials Ltd; Endevour Speciality Chemicals Ltd</t>
  </si>
  <si>
    <t xml:space="preserve">Kubos 3C-SiC substrates onshoring</t>
  </si>
  <si>
    <t xml:space="preserve">£300K</t>
  </si>
  <si>
    <t xml:space="preserve">Award winners: Kubos Semiconductors Ltd; Advanced Epi Materials And Devices Ltd; Oxford Instruments PLC; Wafer Technology Ltd</t>
  </si>
  <si>
    <t xml:space="preserve">RAM Innovations Vishay supply-chain</t>
  </si>
  <si>
    <t xml:space="preserve">£321K</t>
  </si>
  <si>
    <t xml:space="preserve">Award winners: RAM Innovations Ltd; KuasaSemi Ltd; Vishay Ltd</t>
  </si>
  <si>
    <t xml:space="preserve">IceMOS 3C-SiC power devices</t>
  </si>
  <si>
    <t xml:space="preserve">£585K</t>
  </si>
  <si>
    <t xml:space="preserve">Compound; Materials</t>
  </si>
  <si>
    <t xml:space="preserve">Award winners: IceMOS Technology Ltd; University of Warwick</t>
  </si>
  <si>
    <t xml:space="preserve">Paragraf UK graphene foundry</t>
  </si>
  <si>
    <t xml:space="preserve">£1.4M</t>
  </si>
  <si>
    <t xml:space="preserve">Award winners: Paragraf Ltd; UK Electronic Skills Foundation; University of Birmingham; Cupio Services Ltd; University of Glasgow</t>
  </si>
  <si>
    <t xml:space="preserve">Silverray X-ray dosimeters manufacturing</t>
  </si>
  <si>
    <t xml:space="preserve">£530K</t>
  </si>
  <si>
    <t xml:space="preserve">Award winners: Silverray Ltd; University of Surrey</t>
  </si>
  <si>
    <t xml:space="preserve">Vector Photonicss GaN Photonics-crystals</t>
  </si>
  <si>
    <t xml:space="preserve">£650K</t>
  </si>
  <si>
    <t xml:space="preserve">Photonics; Fabrication</t>
  </si>
  <si>
    <t xml:space="preserve">Award winners: Vector Photonicss Ltd; University of Glasgow</t>
  </si>
  <si>
    <t xml:space="preserve">BAE Systems INTERPOSE-UK project</t>
  </si>
  <si>
    <t xml:space="preserve">£438K</t>
  </si>
  <si>
    <t xml:space="preserve">Award winners: BAE Systems (Operation</t>
  </si>
  <si>
    <t xml:space="preserve">Gallium Nitride Technology Center</t>
  </si>
  <si>
    <t xml:space="preserve">$85M</t>
  </si>
  <si>
    <t xml:space="preserve">Government funded GaN Center</t>
  </si>
  <si>
    <t xml:space="preserve">https://www.edb.gov.sg/en/business-insights/insights/investments-into-semiconductor-centre-industry-tie-ups-to-power-manufacturing-transformation.html#:~:text=To%20ride%20on%20the%20strength,and%20be%20as%20a%20shared</t>
  </si>
  <si>
    <t xml:space="preserve">Microchip Gresham Fab Expansion</t>
  </si>
  <si>
    <t xml:space="preserve">$11M</t>
  </si>
  <si>
    <t xml:space="preserve">Modernization &amp; expansion to triple chip output</t>
  </si>
  <si>
    <t xml:space="preserve">https://www.oregon.gov/biz/programs/or_chips_fund/pages/default.aspx#g_87eec6f9_bc10_483b_a964_783bb154410c</t>
  </si>
  <si>
    <t xml:space="preserve">Intel Hillsboro R&amp;D Fab Expansion</t>
  </si>
  <si>
    <t xml:space="preserve">$115M</t>
  </si>
  <si>
    <t xml:space="preserve">Expansion of D1X R&amp;D fab; part of $1.86B federal CHIPS award</t>
  </si>
  <si>
    <t xml:space="preserve">HP Microfluidics R&amp;D Center</t>
  </si>
  <si>
    <t xml:space="preserve">$9.5M</t>
  </si>
  <si>
    <t xml:space="preserve">Facility upgrades for MEMS/microfluidics R&amp;D</t>
  </si>
  <si>
    <t xml:space="preserve">Analog Devices Beaverton Site Expansion</t>
  </si>
  <si>
    <t xml:space="preserve">$12M</t>
  </si>
  <si>
    <t xml:space="preserve">R&amp;D; WFE</t>
  </si>
  <si>
    <t xml:space="preserve">Equipment &amp; facility expansion; largest ADI site</t>
  </si>
  <si>
    <t xml:space="preserve">Siltronic Metrology Modernization</t>
  </si>
  <si>
    <t xml:space="preserve">$1.5M</t>
  </si>
  <si>
    <t xml:space="preserve">Equipment to modernize metrology for wafer production</t>
  </si>
  <si>
    <t xml:space="preserve">Lam Research Advanced R&amp;D Center</t>
  </si>
  <si>
    <t xml:space="preserve">$22M</t>
  </si>
  <si>
    <t xml:space="preserve">New R&amp;D center construction at Tualatin campus</t>
  </si>
  <si>
    <t xml:space="preserve">Stratacache MicroLED Foundry</t>
  </si>
  <si>
    <t xml:space="preserve">$19M</t>
  </si>
  <si>
    <t xml:space="preserve">Reuse of legacy fab for MicroLED production</t>
  </si>
  <si>
    <t xml:space="preserve">ATI Specialty Materials Expansion</t>
  </si>
  <si>
    <t xml:space="preserve">$1.6M</t>
  </si>
  <si>
    <t xml:space="preserve">Expanding materials production for semiconductors</t>
  </si>
  <si>
    <t xml:space="preserve">AGC Electronic Hillsboro Upgrade</t>
  </si>
  <si>
    <t xml:space="preserve">$500K</t>
  </si>
  <si>
    <t xml:space="preserve">Facility modernization for glass/electronics subsidiary</t>
  </si>
  <si>
    <t xml:space="preserve">Valliscor Semiconductor Chemicals Plant</t>
  </si>
  <si>
    <t xml:space="preserve">$345K</t>
  </si>
  <si>
    <t xml:space="preserve">New plant in Albany to support specialty chemical production</t>
  </si>
  <si>
    <t xml:space="preserve">TOKA Lithography Materials Expansion</t>
  </si>
  <si>
    <t xml:space="preserve">$2.9M</t>
  </si>
  <si>
    <t xml:space="preserve">Expansion of TOKA facility in Hillsboro for photolithography</t>
  </si>
  <si>
    <t xml:space="preserve">(Rumored) Oppstar IC Design Scale-Up</t>
  </si>
  <si>
    <t xml:space="preserve">Malaysian IC design firm backed by EPF &amp; KWAP as NSS champion</t>
  </si>
  <si>
    <t xml:space="preserve">https://theedgemalaysia.com/node/763905; https://www.klsescreener.com/v2/news/view/1345151/Cover_Story_National_Semiconductor_Strategy_to_guide_industry_up_value_chain#</t>
  </si>
  <si>
    <t xml:space="preserve">(Rumored) ViTrox Advanced Inspection Automation</t>
  </si>
  <si>
    <t xml:space="preserve">WFE; APT; R&amp;D</t>
  </si>
  <si>
    <t xml:space="preserve">Local APT &amp; inspection tech firm, EPF/KWAP invested via NSS</t>
  </si>
  <si>
    <t xml:space="preserve">(Rumored) Inari OSAT Expansion</t>
  </si>
  <si>
    <t xml:space="preserve">Leading Malaysian OSAT firm named as NSS champion</t>
  </si>
  <si>
    <t xml:space="preserve">(Rumored) Carsem High-Value Assembly Investment</t>
  </si>
  <si>
    <t xml:space="preserve">Major backend packaging company under Malaysia NSS</t>
  </si>
  <si>
    <t xml:space="preserve">(Rumored) Pentamaster Test &amp; Automation Scale-Up</t>
  </si>
  <si>
    <t xml:space="preserve">Semiconductor automation and test systems company</t>
  </si>
  <si>
    <t xml:space="preserve">(Rumored) Kelington Semiconductor Infra Services Boost</t>
  </si>
  <si>
    <t xml:space="preserve">Fab infra and specialty services integrator</t>
  </si>
  <si>
    <t xml:space="preserve">(Rumored) SkyeChip AI Chip Design Acceleration</t>
  </si>
  <si>
    <t xml:space="preserve">AI and HPC chip design firm highlighted under NSS</t>
  </si>
  <si>
    <t xml:space="preserve">(Rumored) Infinecs Power IC Design Program</t>
  </si>
  <si>
    <t xml:space="preserve">Power management IC firm under NSS champions</t>
  </si>
  <si>
    <t xml:space="preserve">(Rumored) Experior Systems IC Design Growth</t>
  </si>
  <si>
    <t xml:space="preserve">Malaysian IC/system design company under NSS</t>
  </si>
  <si>
    <t xml:space="preserve">US Intel Equity Stake</t>
  </si>
  <si>
    <t xml:space="preserve">Equity Stake</t>
  </si>
  <si>
    <t xml:space="preserve">$8.9B</t>
  </si>
  <si>
    <t xml:space="preserve">Equity stake in Intel</t>
  </si>
  <si>
    <t xml:space="preserve">https://www.intc.com/news-events/press-releases/detail/1748/intel-and-trump-administration-reach-historic-agreement-to?</t>
  </si>
  <si>
    <t xml:space="preserve">USA Rare Earth Inc Equity Stake</t>
  </si>
  <si>
    <t xml:space="preserve">$277M</t>
  </si>
  <si>
    <t xml:space="preserve">Rare earth metal development</t>
  </si>
  <si>
    <t xml:space="preserve">https://www.nist.gov/news-events/news/2026/01/department-commerces-chips-program-announces-letter-intent-usa-rare-earth?</t>
  </si>
  <si>
    <t xml:space="preserve">Loan</t>
  </si>
  <si>
    <t xml:space="preserve">$1.3B</t>
  </si>
  <si>
    <t xml:space="preserve">Samsung Electronics – Yokohama Advanced Package Lab</t>
  </si>
  <si>
    <t xml:space="preserve">¥20B (~$127M)</t>
  </si>
  <si>
    <t xml:space="preserve">5-year Post-5G Fund grant for next-gen chiplet and packaging R&amp;D</t>
  </si>
  <si>
    <t xml:space="preserve">https://eetimes.itmedia.co.jp/ee/articles/2312/21/news174.html; https://www.nikkei.com/article/DGXZQOUA212B80R21C23A2000000/</t>
  </si>
  <si>
    <t xml:space="preserve">Rapidus – Additional Grant FY2026-27</t>
  </si>
  <si>
    <t xml:space="preserve">2026-2027</t>
  </si>
  <si>
    <t xml:space="preserve">¥1T (~$6.3B)</t>
  </si>
  <si>
    <t xml:space="preserve">Fabrication; Logic; R&amp;D</t>
  </si>
  <si>
    <t xml:space="preserve">METI Nov 2025 announcement of additional ¥1T for FY2026-27; separate from Grant One and Grant Two tranches</t>
  </si>
  <si>
    <t xml:space="preserve">https://www.nikkei.com/article/DGXZQOUA218OG0R21C25A1000000/</t>
  </si>
  <si>
    <t xml:space="preserve">Renesas Electronics – Microcontroller Supply Security</t>
  </si>
  <si>
    <t xml:space="preserve">¥15.9B (~$101M)</t>
  </si>
  <si>
    <t xml:space="preserve">Domestic microcontroller production capacity strengthening</t>
  </si>
  <si>
    <t xml:space="preserve">https://www.meti.go.jp/policy/economy/economic_security/semicon/nintei_anpohandoutai_keikaku_01.pdf</t>
  </si>
  <si>
    <t xml:space="preserve">Ibiden – FC-BGA Package Substrates (Ono Plant)</t>
  </si>
  <si>
    <t xml:space="preserve">¥40.5B (~$300M)</t>
  </si>
  <si>
    <t xml:space="preserve">METI ESPA supply-assurance plan authorization Apr 28 2023; max subsidy ≤1/3 of project cost for FC-BGA substrate mass production at Ono Plant, Gifu Prefecture</t>
  </si>
  <si>
    <t xml:space="preserve">https://www.ibiden.com/company/2023/04/approval-of-supply-securing-plan-for-ono-plant.html; https://www.meti.go.jp/english/policy/0704_001.pdf</t>
  </si>
  <si>
    <t xml:space="preserve">SUMCO – 300mm Silicon Wafer Expansion (Saga)</t>
  </si>
  <si>
    <t xml:space="preserve">¥75B (~$555M)</t>
  </si>
  <si>
    <t xml:space="preserve">METI ESPA authorization Jul 14 2023; ¥75B subsidy (1/3 of ¥225B project) for 300mm wafer fabs in Imari and Yoshinogari, Saga; construction delayed Apr 2026 due to market shift</t>
  </si>
  <si>
    <t xml:space="preserve">https://www.meti.go.jp/english/policy/0704_001.pdf; https://www.trendforce.com/news/2026/04/06/news-sumco-delays-construction-of-two-silicon-wafer-fabs-amid-market-shift/</t>
  </si>
  <si>
    <t xml:space="preserve">Canon + Canon Semiconductor Equipment – Lithography/Exposure Tools</t>
  </si>
  <si>
    <t xml:space="preserve">¥11.1B (~$82M)</t>
  </si>
  <si>
    <t xml:space="preserve">METI ESPA authorization Jun 16 2023; max subsidy for lithography/exposure tool production at Utsunomiya (Tochigi) and Ami (Ibaraki) facilities</t>
  </si>
  <si>
    <t xml:space="preserve">Resonac – SiC Wafers / CMP Slurries</t>
  </si>
  <si>
    <t xml:space="preserve">¥11.4B (~$76.3M)</t>
  </si>
  <si>
    <t xml:space="preserve">METI ESPA authorization Jun 16 2023 for Resonac Holdings (former Showa Denko Materials) SiC wafer and CMP slurry capacity</t>
  </si>
  <si>
    <t xml:space="preserve">Sumitomo Electric Industries – SiC Wafers</t>
  </si>
  <si>
    <t xml:space="preserve">¥11B (~$74.1M)</t>
  </si>
  <si>
    <t xml:space="preserve">METI ESPA authorization Jun 16 2023 for SiC wafer production</t>
  </si>
  <si>
    <t xml:space="preserve">Shinko Electric Industries – Package Substrates</t>
  </si>
  <si>
    <t xml:space="preserve">¥19.8B (~$132M)</t>
  </si>
  <si>
    <t xml:space="preserve">METI ESPA authorization Jun 16 2023 for IC package substrate capacity expansion</t>
  </si>
  <si>
    <t xml:space="preserve">Gas Consortium (Sumitomo Corp, Koatsu Gas, Kioxia, Sony et al.) – Industrial Gases</t>
  </si>
  <si>
    <t xml:space="preserve">~¥30B (~$199M)</t>
  </si>
  <si>
    <t xml:space="preserve">METI ESPA authorizations Jun 16 / Jul 28 / Dec 6 2023 covering yellow phosphorus, helium, neon gas supply including Iwatani, JFE Steel + Tokyo Gas Chemical, Taiyo Nippon Sanso, Air Liquide Japan, Rasa Industries</t>
  </si>
  <si>
    <t xml:space="preserve">Kanadevia (Hitachi Zosen) – CMP Lapping Plates</t>
  </si>
  <si>
    <t xml:space="preserve">¥0.9B (~$6M)</t>
  </si>
  <si>
    <t xml:space="preserve">METI ESPA authorization Nov 29 2024; ¥0.9B of ¥2.7B project for CMP/wafer processing consumables at Takahama (Fukui); start April 2027</t>
  </si>
  <si>
    <t xml:space="preserve">https://monoist.itmedia.co.jp/mn/articles/2412/02/news070.html</t>
  </si>
  <si>
    <t xml:space="preserve">Takiron CI + Takiron Tech – Resin Plates</t>
  </si>
  <si>
    <t xml:space="preserve">¥1.4B (~$9M)</t>
  </si>
  <si>
    <t xml:space="preserve">METI ESPA authorization Nov 29 2024; ¥1.4B of ¥4.4B project for semiconductor-processing resin plates; start January 2027</t>
  </si>
  <si>
    <t xml:space="preserve">Mitsubishi Chemical – Synthetic Quartz Powder</t>
  </si>
  <si>
    <t xml:space="preserve">¥3.7B (~$24M)</t>
  </si>
  <si>
    <t xml:space="preserve">METI ESPA authorization Nov 29 2024 for synthetic quartz powder production at Kitakyushu plant</t>
  </si>
  <si>
    <t xml:space="preserve">Chemours-Mitsui Fluoroproducts – Fluoropolymers</t>
  </si>
  <si>
    <t xml:space="preserve">¥8.0B (~$53M)</t>
  </si>
  <si>
    <t xml:space="preserve">METI ESPA authorization Nov 29 2024; ¥8.0B of ¥27.5B project for fluoropolymers used in semiconductor equipment; capacity +60%; start December 2028</t>
  </si>
  <si>
    <t xml:space="preserve">Skyworks Filter Solutions Japan – BAW Filters</t>
  </si>
  <si>
    <t xml:space="preserve">¥4.4B (~$29M)</t>
  </si>
  <si>
    <t xml:space="preserve">METI ESPA authorization Nov 29 2024; ¥4.4B of ¥13.4B project for BAW filter production; start April 2027; 28,800 units/year</t>
  </si>
  <si>
    <t xml:space="preserve">JX Metal (JX Advanced Metals) – Copper Sputtering Targets</t>
  </si>
  <si>
    <t xml:space="preserve">¥2.2B (~$15M)</t>
  </si>
  <si>
    <r>
      <rPr>
        <sz val="12"/>
        <color theme="1"/>
        <rFont val="Aptos Narrow"/>
        <family val="2"/>
        <charset val="1"/>
      </rPr>
      <t xml:space="preserve">METI ESPA authorization Jul 18 2025 (authorization 2025</t>
    </r>
    <r>
      <rPr>
        <sz val="12"/>
        <color theme="1"/>
        <rFont val="Noto Sans CJK SC"/>
        <family val="2"/>
      </rPr>
      <t xml:space="preserve">半導体第</t>
    </r>
    <r>
      <rPr>
        <sz val="12"/>
        <color theme="1"/>
        <rFont val="Aptos Narrow"/>
        <family val="2"/>
        <charset val="1"/>
      </rPr>
      <t xml:space="preserve">1</t>
    </r>
    <r>
      <rPr>
        <sz val="12"/>
        <color theme="1"/>
        <rFont val="Noto Sans CJK SC"/>
        <family val="2"/>
      </rPr>
      <t xml:space="preserve">号</t>
    </r>
    <r>
      <rPr>
        <sz val="12"/>
        <color theme="1"/>
        <rFont val="Aptos Narrow"/>
        <family val="2"/>
        <charset val="1"/>
      </rPr>
      <t xml:space="preserve">-1); ¥2.2B of ¥6.6B project for copper sputtering targets at Hitachinaka plant</t>
    </r>
  </si>
  <si>
    <t xml:space="preserve">https://www.meti.go.jp/policy/economy/economic_security/semicon/nintei_anpohandoutai_keikaku_25.pdf</t>
  </si>
  <si>
    <t xml:space="preserve">Sony Semiconductor Manufacturing – Koshi (Kumamoto) CMOS Image Sensor Plant</t>
  </si>
  <si>
    <t xml:space="preserve">2026-2029</t>
  </si>
  <si>
    <t xml:space="preserve">¥60B (~$400M)</t>
  </si>
  <si>
    <t xml:space="preserve">METI ESPA authorization Apr 17 2026; max ¥60B (1/3) of ¥180B project; 300mm fab producing ~10k wafers/month of CMOS image sensors for smartphones/automotive; supply start May 2029</t>
  </si>
  <si>
    <t xml:space="preserve">https://finance.biggo.com/news/U9nPmZ0B5edQG9E4l94B</t>
  </si>
  <si>
    <t xml:space="preserve">Khazanah/KWAP Semiconductor Co-Investment Fund</t>
  </si>
  <si>
    <t xml:space="preserve">RM550M (~$117M)</t>
  </si>
  <si>
    <t xml:space="preserve">Budget 2026 (Oct 2025) allocation; direct equity co-investment into local chipmakers and JVs with MNCs through Khazanah + KWAP</t>
  </si>
  <si>
    <t xml:space="preserve">https://thesun.my/news/malaysia-news/budget-2026-rm200mil-co-investment-fund-rm550mil-semiconductor-boost-highlight-budget-2026-fc15067174/</t>
  </si>
  <si>
    <t xml:space="preserve">Bank Pembangunan Malaysia Berhad (BPMB) – Semiconductor R&amp;D Loan Facility</t>
  </si>
  <si>
    <t xml:space="preserve">RM500M (~$106M)</t>
  </si>
  <si>
    <t xml:space="preserve">Budget 2026 loan facility for semiconductor R&amp;D and design activities by local E&amp;E firms</t>
  </si>
  <si>
    <t xml:space="preserve">https://www.msia.org.my/news_updates_details/PPGDAVSOO8</t>
  </si>
  <si>
    <t xml:space="preserve">MOSTI Science Endowment – Advanced Packaging Matching Fund</t>
  </si>
  <si>
    <t xml:space="preserve">RM90M (~$19M)</t>
  </si>
  <si>
    <t xml:space="preserve">MOSTI Science Endowment matching fund launched July 2025; advanced semiconductor packaging modernization for OSAT firms</t>
  </si>
  <si>
    <t xml:space="preserve">https://theedgemalaysia.com/node/763095</t>
  </si>
  <si>
    <t xml:space="preserve">X-FAB Sarawak Expansion (Sama Jaya FIZ)</t>
  </si>
  <si>
    <t xml:space="preserve">RM3B (~$637M)</t>
  </si>
  <si>
    <t xml:space="preserve">Announced September 2025; X-FAB 200mm fab expansion from 30k→40k wafers/month (target 50k) at Sama Jaya FIZ, Kuching; analog/mixed-signal; Sarawak state incentive package</t>
  </si>
  <si>
    <t xml:space="preserve">https://www.nst.com.my/business/corporate/2025/09/1274102/germanys-x-fab-invests-rm3bil-expand-sarawak-chip-plant</t>
  </si>
  <si>
    <t xml:space="preserve">Crucible Metals Critical Minerals Facility</t>
  </si>
  <si>
    <t xml:space="preserve">$210M</t>
  </si>
  <si>
    <t xml:space="preserve">Domestic critical minerals refining and smelting capabilities supporting semiconductor supply chains</t>
  </si>
  <si>
    <t xml:space="preserve">https://www.nist.gov/news-events/news/2025/12/department-commerce-awards-chips-incentives-subsidiary-korea-zinc-crucible</t>
  </si>
  <si>
    <t xml:space="preserve">Coherent Sherman Expansion</t>
  </si>
  <si>
    <t xml:space="preserve">2026-2028</t>
  </si>
  <si>
    <t xml:space="preserve">$14.1M</t>
  </si>
  <si>
    <t xml:space="preserve">Indium phosphide wafer and photonics manufacturing expansion in Sherman, Texas</t>
  </si>
  <si>
    <t xml:space="preserve">https://gov.texas.gov/news/post/governor-abbott-announces-texas-semiconductor-innovation-fund-grant-to-coherent-corp</t>
  </si>
  <si>
    <t xml:space="preserve">Arm Austin Semiconductor Lab</t>
  </si>
  <si>
    <t xml:space="preserve">$4.16M</t>
  </si>
  <si>
    <t xml:space="preserve">Semiconductor failure analysis and advanced chip design lab expansion in Austin</t>
  </si>
  <si>
    <t xml:space="preserve">https://gov.texas.gov/news/post/governor-abbott-announces-texas-semiconductor-innovation-fund-grant-to-arm-inc</t>
  </si>
  <si>
    <t xml:space="preserve">Texas A&amp;M Cyclotron Institute Expansion</t>
  </si>
  <si>
    <t xml:space="preserve">$13M</t>
  </si>
  <si>
    <t xml:space="preserve">Semiconductor testing and research infrastructure expansion at Texas A&amp;M University</t>
  </si>
  <si>
    <t xml:space="preserve">https://gov.texas.gov/news/post/governor-abbott-announces-texas-semiconductor-innovation-fund-grant-to-texas-am-university</t>
  </si>
  <si>
    <t xml:space="preserve">MACOM Lowell MA and Durham NC Expansion</t>
  </si>
  <si>
    <t xml:space="preserve">Proposed Subsidy</t>
  </si>
  <si>
    <t xml:space="preserve">$70M</t>
  </si>
  <si>
    <t xml:space="preserve">Proposed CHIPS PMT supporting expansion and modernization of MACOM facilities in Lowell MA and Durham NC; Category 1A trusted foundries producing GaN and GaAs compound semiconductors for defense radar telecom and commercial RF applications</t>
  </si>
  <si>
    <t xml:space="preserve">https://www.commerce.gov/news/press-releases/2025/01/us-department-commerce-announces-preliminary-terms-macom-help</t>
  </si>
  <si>
    <t xml:space="preserve">Analog Devices Massachusetts Oregon Washington Expansion</t>
  </si>
  <si>
    <t xml:space="preserve">$105M</t>
  </si>
  <si>
    <t xml:space="preserve">Proposed CHIPS PMT supporting ADI R&amp;D and RF microwave systems manufacturing in Chelmsford MA plus mature-node semiconductor fabrication facilities in Beaverton OR and Camas WA</t>
  </si>
  <si>
    <t xml:space="preserve">https://www.commerce.gov/news/press-releases/2025/01/department-commerce-announces-preliminary-terms-analog-devices-coherent</t>
  </si>
  <si>
    <t xml:space="preserve">Coherent Easton PA SiC Expansion</t>
  </si>
  <si>
    <t xml:space="preserve">$79M</t>
  </si>
  <si>
    <t xml:space="preserve">Materials; Compound</t>
  </si>
  <si>
    <t xml:space="preserve">Proposed CHIPS PMT supporting Coherent's Easton PA facility expansion for 150mm and 200mm silicon carbide substrates, SiC epitaxial wafers, back-end processing and reliability testing</t>
  </si>
  <si>
    <t xml:space="preserve">IntelliEPI Allen TX Epitaxy Wafer Expansion</t>
  </si>
  <si>
    <t xml:space="preserve">$10.3M</t>
  </si>
  <si>
    <t xml:space="preserve">Proposed CHIPS PMT supporting expansion and modernization of IntelliEPI's Allen TX facility to increase epitaxial wafer production for compound semiconductor applications</t>
  </si>
  <si>
    <t xml:space="preserve">Sumika Baytown TX High-Purity Chemicals Facility</t>
  </si>
  <si>
    <t xml:space="preserve">$52.1M</t>
  </si>
  <si>
    <t xml:space="preserve">Proposed CHIPS PMT supporting Sumika greenfield factory in Baytown TX to manufacture ultra-high-purity chemicals used in semiconductor production</t>
  </si>
  <si>
    <t xml:space="preserve">Micron Expanded U.S. Memory Manufacturing Investment</t>
  </si>
  <si>
    <t xml:space="preserve">$275M</t>
  </si>
  <si>
    <t xml:space="preserve">Fabrication; APT; R&amp;D</t>
  </si>
  <si>
    <t xml:space="preserve">Incremental CHIPS Act direct funding accompanying Micron's expanded $200B U.S. manufacturing and R&amp;D investment across Idaho New York and Virginia including advanced memory manufacturing and HBM-related packaging capacity</t>
  </si>
  <si>
    <t xml:space="preserve">https://www.nist.gov/news-events/news/2025/06/president-trump-secures-200b-investment-micron-technology-memory-chip</t>
  </si>
  <si>
    <t xml:space="preserve">Vulcan Elements NdFeB Magnet Equipment</t>
  </si>
  <si>
    <t xml:space="preserve">Proposed Equity Incentive</t>
  </si>
  <si>
    <t xml:space="preserve">$50M</t>
  </si>
  <si>
    <t xml:space="preserve">Proposed CHIPS LOI for equipment supporting domestic rare earth separation metallization and NdFeB magnet manufacturing; Commerce expected to receive $50M of equity in Vulcan Elements</t>
  </si>
  <si>
    <t xml:space="preserve">https://www.nist.gov/news-events/news/2025/11/department-commerce-announces-chips-incentives-letter-intent-vulcan</t>
  </si>
  <si>
    <t xml:space="preserve">xLight EUV Free-Electron Laser Prototype</t>
  </si>
  <si>
    <t xml:space="preserve">$150M</t>
  </si>
  <si>
    <t xml:space="preserve">Proposed CHIPS R&amp;D LOI for xLight to construct build out and demonstrate a free-electron laser prototype as an alternative EUV lithography light source at the Albany Nanotech Complex; Commerce expected to receive $150M of equity in xLight</t>
  </si>
  <si>
    <t xml:space="preserve">https://www.nist.gov/news-events/news/2025/12/department-commerce-and-nist-announce-chips-research-and-development-letter</t>
  </si>
  <si>
    <t xml:space="preserve">Coherent Corp. InP Expansion (Sherman, TX)</t>
  </si>
  <si>
    <t xml:space="preserve">up to $50M</t>
  </si>
  <si>
    <t xml:space="preserve">150mm InP fab expansion supporting domestic photonics semiconductor capacity</t>
  </si>
  <si>
    <t xml:space="preserve">https://www.nist.gov/chips</t>
  </si>
  <si>
    <t xml:space="preserve">Robert Bosch Semiconductor LLC (Roseville, CA SiC)</t>
  </si>
  <si>
    <t xml:space="preserve">up to $225M</t>
  </si>
  <si>
    <t xml:space="preserve">Roseville SiC fab conversion expanding domestic power semiconductor production</t>
  </si>
  <si>
    <t xml:space="preserve">https://www.nist.gov/news-events/news/2026/07/department-commerce-announces-direct-funding-agreement-bosch-225-million</t>
  </si>
  <si>
    <t xml:space="preserve">I-Pulse SiC Development</t>
  </si>
  <si>
    <t xml:space="preserve">$250M</t>
  </si>
  <si>
    <t xml:space="preserve">R&amp;D; Fabrication; Compound</t>
  </si>
  <si>
    <t xml:space="preserve">Novel SiC power semiconductor technology development</t>
  </si>
  <si>
    <t xml:space="preserve">https://www.nist.gov/news-events/news/2026/06/department-commerce-announces-definitive-agreement-i-pulse-250-million</t>
  </si>
  <si>
    <t xml:space="preserve">Multibeam Corp. (CHIPS R&amp;D)</t>
  </si>
  <si>
    <t xml:space="preserve">$140M</t>
  </si>
  <si>
    <t xml:space="preserve">Advanced chip stacking and interconnect packaging technology development</t>
  </si>
  <si>
    <t xml:space="preserve">https://www.nist.gov/news-events/news/2026/07/department-commerce-announces-letters-intent-7-companies-874-million</t>
  </si>
  <si>
    <t xml:space="preserve">GlobalFoundries (CHIPS R&amp;D)</t>
  </si>
  <si>
    <t xml:space="preserve">Co-packaged optics development supporting domestic AI infrastructure</t>
  </si>
  <si>
    <t xml:space="preserve">Kepler Computing (CHIPS R&amp;D)</t>
  </si>
  <si>
    <t xml:space="preserve">$245M</t>
  </si>
  <si>
    <t xml:space="preserve">High-performance AI memory technology development</t>
  </si>
  <si>
    <t xml:space="preserve">Extropic (CHIPS R&amp;D)</t>
  </si>
  <si>
    <t xml:space="preserve">Probabilistic computing semiconductor technology development</t>
  </si>
  <si>
    <t xml:space="preserve">Thintronics (CHIPS R&amp;D)</t>
  </si>
  <si>
    <t xml:space="preserve">Ultra-low-loss dielectric materials for advanced semiconductor interconnects</t>
  </si>
  <si>
    <t xml:space="preserve">OBSIDIA (CHIPS R&amp;D)</t>
  </si>
  <si>
    <t xml:space="preserve">$34M</t>
  </si>
  <si>
    <t xml:space="preserve">Counterfeit and malicious semiconductor component identification technology</t>
  </si>
  <si>
    <t xml:space="preserve">Aeluma (CHIPS R&amp;D)</t>
  </si>
  <si>
    <t xml:space="preserve">$30M</t>
  </si>
  <si>
    <t xml:space="preserve">Large-diameter photonics substrates for photodetectors and lasers</t>
  </si>
  <si>
    <t xml:space="preserve">Texas Instruments (Richardson, TX fab)</t>
  </si>
  <si>
    <t xml:space="preserve">$33.6M</t>
  </si>
  <si>
    <t xml:space="preserve">Richardson 300mm wafer fab capacity and technology expansion</t>
  </si>
  <si>
    <t xml:space="preserve">https://gov.texas.gov/news/post/governor-abbott-announces-texas-semiconductor-innovation-fund-grant-to-texas-instruments</t>
  </si>
  <si>
    <t xml:space="preserve">Rapidus IPA Equity Injection #2</t>
  </si>
  <si>
    <t xml:space="preserve">Government equity investment supporting Rapidus 2nm logic commercialization</t>
  </si>
  <si>
    <t xml:space="preserve">https://www.meti.go.jp/english/speeches/press_conferences/2026/0605001.html</t>
  </si>
  <si>
    <t xml:space="preserve">Tower Semiconductor Japan (Uozu &amp; Myoko optical-semi fabs)</t>
  </si>
  <si>
    <t xml:space="preserve">~¥160B</t>
  </si>
  <si>
    <t xml:space="preserve">300mm silicon photonics and SiGe fab expansion</t>
  </si>
  <si>
    <t xml:space="preserve">https://towersemi.com/2026/07/14/07142026/</t>
  </si>
  <si>
    <t xml:space="preserve">FuriosaAI</t>
  </si>
  <si>
    <t xml:space="preserve">₩370B</t>
  </si>
  <si>
    <t xml:space="preserve">Government equity investment supporting domestic AI chip development</t>
  </si>
  <si>
    <t xml:space="preserve">https://www.fsc.go.kr/no010101/87003</t>
  </si>
  <si>
    <t xml:space="preserve">Techwing</t>
  </si>
  <si>
    <t xml:space="preserve">₩50B</t>
  </si>
  <si>
    <t xml:space="preserve">HBM test handler production capacity expansion</t>
  </si>
  <si>
    <t xml:space="preserve">https://www.fsc.go.kr/no010101/87442</t>
  </si>
  <si>
    <t xml:space="preserve">Doosan Tesna</t>
  </si>
  <si>
    <t xml:space="preserve">₩560B</t>
  </si>
  <si>
    <t xml:space="preserve">System semiconductor testing and back-end capacity expansion</t>
  </si>
  <si>
    <t xml:space="preserve">https://www.fsc.go.kr/no010101/87609</t>
  </si>
  <si>
    <t xml:space="preserve">TKG Solmics</t>
  </si>
  <si>
    <t xml:space="preserve">₩100B</t>
  </si>
  <si>
    <t xml:space="preserve">Semiconductor equipment silicon component production capacity expansion</t>
  </si>
  <si>
    <t xml:space="preserve">Oketto (Orchestro)</t>
  </si>
  <si>
    <t xml:space="preserve">₩11.25B</t>
  </si>
  <si>
    <t xml:space="preserve">AI-semiconductor cloud software stack and model hub development</t>
  </si>
  <si>
    <t xml:space="preserve">https://www.etnews.com/20260508000191</t>
  </si>
  <si>
    <t xml:space="preserve">Element 3-5 GmbH SiC Epi-Wafer Facility</t>
  </si>
  <si>
    <t xml:space="preserve">€353M</t>
  </si>
  <si>
    <t xml:space="preserve">First-of-a-kind SiC epitaxial wafer production facility</t>
  </si>
  <si>
    <t xml:space="preserve">https://europeansting.com/2026/07/14/commission-approves-e659-million-german-state-aid-for-four-new-semiconductor-facilities/</t>
  </si>
  <si>
    <t xml:space="preserve">Vishay Siliconix Itzehoe GmbH Power MOSFET Fab</t>
  </si>
  <si>
    <t xml:space="preserve">€214M</t>
  </si>
  <si>
    <t xml:space="preserve">Silicon power MOSFET production facility</t>
  </si>
  <si>
    <t xml:space="preserve">KLA-Tencor MIE GmbH Metrology Facility</t>
  </si>
  <si>
    <t xml:space="preserve">€74.4M</t>
  </si>
  <si>
    <t xml:space="preserve">Optical overlay and film metrology equipment production facility</t>
  </si>
  <si>
    <t xml:space="preserve">KETEK GmbH Silicon Detector Facility</t>
  </si>
  <si>
    <t xml:space="preserve">€17.9M</t>
  </si>
  <si>
    <t xml:space="preserve">Silicon drift detector semiconductor production facility</t>
  </si>
  <si>
    <t xml:space="preserve">QuantumDiamonds Semiconductor Testing Equipment Facility</t>
  </si>
  <si>
    <t xml:space="preserve">€76M</t>
  </si>
  <si>
    <t xml:space="preserve">Quantum-sensor semiconductor testing and inspection equipment facility</t>
  </si>
  <si>
    <t xml:space="preserve">https://digital-strategy.ec.europa.eu/en/policies/european-chips-act</t>
  </si>
  <si>
    <t xml:space="preserve">Rapidus Initial Grant (FY2022)</t>
  </si>
  <si>
    <t xml:space="preserve">¥70B</t>
  </si>
  <si>
    <t xml:space="preserve">Initial NEDO post-5G R&amp;D consignment; basic 2nm technology development and first EUV tools</t>
  </si>
  <si>
    <t xml:space="preserve">https://www.csis.org/analysis/japan-seeks-revitalize-its-semiconductor-industry; https://finance.yahoo.com/news/japan-rapidus-seeks-billions-dollars-045705424.html</t>
  </si>
  <si>
    <t xml:space="preserve">Rapidus Grant (FY2023)</t>
  </si>
  <si>
    <t xml:space="preserve">¥260B</t>
  </si>
  <si>
    <t xml:space="preserve">Second subsidy round; funds IIM-1 pilot line construction in Chitose and 2nm R&amp;D</t>
  </si>
  <si>
    <t xml:space="preserve">https://www.csis.org/analysis/japan-seeks-revitalize-its-semiconductor-industry</t>
  </si>
  <si>
    <t xml:space="preserve">Rapidus IPA Equity Injection #1</t>
  </si>
  <si>
    <t xml:space="preserve">¥100B</t>
  </si>
  <si>
    <t xml:space="preserve">IPA equity in ¥267.6B round with 32 private firms; government becomes largest shareholder with golden share</t>
  </si>
  <si>
    <t xml:space="preserve">https://www.theregister.com/on-prem/2026/02/27/rapidus-lands-17b-to-chase-2nm-chip-production-by-2027/4624113</t>
  </si>
  <si>
    <t xml:space="preserve">SK Hynix West Lafayette IN Fab (CHIPS Loan)</t>
  </si>
  <si>
    <t xml:space="preserve">$500M</t>
  </si>
  <si>
    <t xml:space="preserve">Proposed CHIPS loan accompanying the $458M direct funding award for the HBM advanced packaging fab</t>
  </si>
</sst>
</file>

<file path=xl/styles.xml><?xml version="1.0" encoding="utf-8"?>
<styleSheet xmlns="http://schemas.openxmlformats.org/spreadsheetml/2006/main">
  <numFmts count="5">
    <numFmt numFmtId="164" formatCode="General"/>
    <numFmt numFmtId="165" formatCode="0%"/>
    <numFmt numFmtId="166" formatCode="0.0"/>
    <numFmt numFmtId="167" formatCode="\$#,##0.00_);[RED]&quot;($&quot;#,##0.00\)"/>
    <numFmt numFmtId="168" formatCode="\$#,##0_);[RED]&quot;($&quot;#,##0\)"/>
  </numFmts>
  <fonts count="14">
    <font>
      <sz val="12"/>
      <color theme="1"/>
      <name val="Aptos Narrow"/>
      <family val="2"/>
      <charset val="1"/>
    </font>
    <font>
      <sz val="10"/>
      <name val="Arial"/>
      <family val="0"/>
    </font>
    <font>
      <sz val="10"/>
      <name val="Arial"/>
      <family val="0"/>
    </font>
    <font>
      <sz val="10"/>
      <name val="Arial"/>
      <family val="0"/>
    </font>
    <font>
      <b val="true"/>
      <sz val="12"/>
      <color theme="1"/>
      <name val="Aptos Narrow"/>
      <family val="0"/>
      <charset val="1"/>
    </font>
    <font>
      <sz val="12"/>
      <color theme="1"/>
      <name val="Aptos Narrow"/>
      <family val="0"/>
      <charset val="1"/>
    </font>
    <font>
      <sz val="12"/>
      <color rgb="FF000000"/>
      <name val="Aptos Narrow"/>
      <family val="0"/>
      <charset val="1"/>
    </font>
    <font>
      <u val="single"/>
      <sz val="12"/>
      <color theme="10"/>
      <name val="Aptos Narrow"/>
      <family val="2"/>
      <charset val="1"/>
    </font>
    <font>
      <sz val="12"/>
      <color rgb="FF000000"/>
      <name val="Aptos Narrow"/>
      <family val="2"/>
      <charset val="1"/>
    </font>
    <font>
      <b val="true"/>
      <sz val="12"/>
      <color theme="1"/>
      <name val="Aptos Narrow"/>
      <family val="2"/>
      <charset val="1"/>
    </font>
    <font>
      <sz val="11"/>
      <color rgb="FF1F1F1F"/>
      <name val="Arial"/>
      <family val="2"/>
      <charset val="1"/>
    </font>
    <font>
      <b val="true"/>
      <sz val="11"/>
      <color rgb="FF1F1F1F"/>
      <name val="Arial"/>
      <family val="2"/>
      <charset val="1"/>
    </font>
    <font>
      <sz val="12"/>
      <color theme="1"/>
      <name val="Noto Sans CJK SC"/>
      <family val="2"/>
    </font>
    <font>
      <sz val="12"/>
      <color theme="1"/>
      <name val="Arial"/>
      <family val="2"/>
      <charset val="1"/>
    </font>
  </fonts>
  <fills count="3">
    <fill>
      <patternFill patternType="none"/>
    </fill>
    <fill>
      <patternFill patternType="gray125"/>
    </fill>
    <fill>
      <patternFill patternType="solid">
        <fgColor theme="3" tint="0.8999"/>
        <bgColor rgb="FFCCFFFF"/>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right/>
      <top/>
      <bottom style="thin"/>
      <diagonal/>
    </border>
    <border diagonalUp="false" diagonalDown="false">
      <left/>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center" textRotation="0" wrapText="true" indent="0" shrinkToFit="false"/>
      <protection locked="true" hidden="false"/>
    </xf>
    <xf numFmtId="165" fontId="0" fillId="0" borderId="1" xfId="0" applyFont="fals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6" fontId="0"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7" fontId="0" fillId="0" borderId="1" xfId="0" applyFont="tru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0" fillId="0" borderId="3" xfId="0" applyFont="fals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left" vertical="bottom" textRotation="0" wrapText="false" indent="0" shrinkToFit="false"/>
      <protection locked="true" hidden="false"/>
    </xf>
    <xf numFmtId="164" fontId="0" fillId="0" borderId="1" xfId="0" applyFont="tru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true" applyProtection="false">
      <alignment horizontal="right" vertical="center" textRotation="0" wrapText="fals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0"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tru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right" vertical="center" textRotation="0" wrapText="true" indent="0" shrinkToFit="false"/>
      <protection locked="true" hidden="false"/>
    </xf>
    <xf numFmtId="168" fontId="0" fillId="0" borderId="1"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C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467886"/>
      <rgbColor rgb="FF969696"/>
      <rgbColor rgb="FF003366"/>
      <rgbColor rgb="FF339966"/>
      <rgbColor rgb="FF003300"/>
      <rgbColor rgb="FF333300"/>
      <rgbColor rgb="FF993300"/>
      <rgbColor rgb="FF993366"/>
      <rgbColor rgb="FF333399"/>
      <rgbColor rgb="FF1F1F1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cset.georgetown.edu/wp-content/uploads/t0432_made_in_china_2025_EN.pdf?" TargetMode="External"/><Relationship Id="rId2" Type="http://schemas.openxmlformats.org/officeDocument/2006/relationships/hyperlink" Target="https://m.bjnews.com.cn/detail/157201078715912.html?" TargetMode="External"/><Relationship Id="rId3" Type="http://schemas.openxmlformats.org/officeDocument/2006/relationships/hyperlink" Target="https://english.www.gov.cn/news/202405/29/content_WS66569746c6d0868f4e8e7987.html?" TargetMode="External"/><Relationship Id="rId4" Type="http://schemas.openxmlformats.org/officeDocument/2006/relationships/hyperlink" Target="https://www.winston.com/en/blogs-and-podcasts/global-trade-and-foreign-policy-insights/china-places-export-controls-on-raw-materials-used-in-semiconductor-manufacturing?" TargetMode="External"/><Relationship Id="rId5" Type="http://schemas.openxmlformats.org/officeDocument/2006/relationships/hyperlink" Target="https://www.jetro.go.jp/ext_images/invest/ijre/report2022/" TargetMode="External"/><Relationship Id="rId6" Type="http://schemas.openxmlformats.org/officeDocument/2006/relationships/hyperlink" Target="https://www.jetro.go.jp/ext_images/invest/ijre/report2022/" TargetMode="External"/><Relationship Id="rId7" Type="http://schemas.openxmlformats.org/officeDocument/2006/relationships/hyperlink" Target="https://www.meti.go.jp/english/policy/0704_001.pdf" TargetMode="External"/><Relationship Id="rId8" Type="http://schemas.openxmlformats.org/officeDocument/2006/relationships/hyperlink" Target="https://www.businesskorea.co.kr/news/articleView.html?idxno=48289;https://koreajoongangdaily.joins.com/2019/04/30/economy/Government-launches-plan-to-make-Korea-a-semiconductor-leader-by-2030/3062504.html" TargetMode="External"/><Relationship Id="rId9" Type="http://schemas.openxmlformats.org/officeDocument/2006/relationships/hyperlink" Target="https://www.foi.se/rest-api/report/FOI%20Memo%208937" TargetMode="External"/><Relationship Id="rId10" Type="http://schemas.openxmlformats.org/officeDocument/2006/relationships/hyperlink" Target="https://www.info.gouv.fr/upload/media/organization/0001/01/sites_default_files_contenu_piece-jointe_2022_07_22_-_dossier_de_presse_-_electronique_2030.pdf" TargetMode="External"/><Relationship Id="rId11" Type="http://schemas.openxmlformats.org/officeDocument/2006/relationships/hyperlink" Target="https://www.lawplusltd.com/wp-content/uploads/kalins-pdf/singles/eastern-economic-corridor-act-b-e-2561-thailand.pdf?" TargetMode="External"/><Relationship Id="rId12" Type="http://schemas.openxmlformats.org/officeDocument/2006/relationships/hyperlink" Target="https://osos.boi.go.th/download/BOI_PDF/BOI_A_Guide_2023_EN.pdf?" TargetMode="External"/><Relationship Id="rId13" Type="http://schemas.openxmlformats.org/officeDocument/2006/relationships/hyperlink" Target="https://www.nist.gov/news-events/news/2023/11/chips-america-releases-vision-approximately-3-billion-national-advanced?" TargetMode="External"/><Relationship Id="rId14" Type="http://schemas.openxmlformats.org/officeDocument/2006/relationships/hyperlink" Target="https://www.nist.gov/news-events/news/2024/05/jarvis-leaderboard-large-scale-benchmark-materials-design-methods?utm_source" TargetMode="External"/><Relationship Id="rId15" Type="http://schemas.openxmlformats.org/officeDocument/2006/relationships/hyperlink" Target="https://www.nist.gov/news-events/news/2024/11/chips-america-announces-new-proposed-285-million-award-chips-manufacturing?" TargetMode="External"/><Relationship Id="rId16" Type="http://schemas.openxmlformats.org/officeDocument/2006/relationships/hyperlink" Target="https://www.tomshardware.com/tech-industry/manufacturing/chinese-province-sets-up-dollar15-billion-chip-fund-to-boost-local-semiconductor-industry?" TargetMode="External"/><Relationship Id="rId17" Type="http://schemas.openxmlformats.org/officeDocument/2006/relationships/hyperlink" Target="https://www.tomshardware.com/tech-industry/manufacturing/chinese-province-sets-up-dollar15-billion-chip-fund-to-boost-local-semiconductor-industry?" TargetMode="External"/><Relationship Id="rId18" Type="http://schemas.openxmlformats.org/officeDocument/2006/relationships/hyperlink" Target="https://startup.aliyun.com/info/1092847.html?" TargetMode="External"/><Relationship Id="rId19" Type="http://schemas.openxmlformats.org/officeDocument/2006/relationships/hyperlink" Target="https://startup.aliyun.com/info/1092847.html?" TargetMode="External"/><Relationship Id="rId20" Type="http://schemas.openxmlformats.org/officeDocument/2006/relationships/hyperlink" Target="https://startup.aliyun.com/info/1092847.html?" TargetMode="External"/><Relationship Id="rId21" Type="http://schemas.openxmlformats.org/officeDocument/2006/relationships/hyperlink" Target="https://www.cls.cn/detail/1797798?" TargetMode="External"/><Relationship Id="rId22" Type="http://schemas.openxmlformats.org/officeDocument/2006/relationships/hyperlink" Target="https://www.cls.cn/detail/1797798?" TargetMode="External"/><Relationship Id="rId23" Type="http://schemas.openxmlformats.org/officeDocument/2006/relationships/hyperlink" Target="https://www.hoganlovells.com/en/publications/japans-new-chip-equipment-export-rules-take-effect" TargetMode="External"/><Relationship Id="rId24" Type="http://schemas.openxmlformats.org/officeDocument/2006/relationships/hyperlink" Target="https://globaltradealert.org/state-act/62404-republic-of-korea-government-publishes-national-strategy-for-artificial-intelligence?" TargetMode="External"/><Relationship Id="rId25" Type="http://schemas.openxmlformats.org/officeDocument/2006/relationships/hyperlink" Target="https://www5.cao.go.jp/keizai1/keizaitaisaku/2021/20211119_economic_measures_all.pdf" TargetMode="External"/><Relationship Id="rId26" Type="http://schemas.openxmlformats.org/officeDocument/2006/relationships/hyperlink" Target="https://www.mk.co.kr/en/economy/11493849" TargetMode="External"/><Relationship Id="rId27" Type="http://schemas.openxmlformats.org/officeDocument/2006/relationships/hyperlink" Target="https://www.korea.net/Government/Briefing-Room/Press-Releases/view?articleId=8026;https://outlook.stpi.niar.org.tw/index/news/4b11410096d362580196e5fec2d535c1?" TargetMode="External"/><Relationship Id="rId28" Type="http://schemas.openxmlformats.org/officeDocument/2006/relationships/hyperlink" Target="https://www.motir.go.kr/kor/article/ATCL3c536e4ec/79798/view" TargetMode="External"/><Relationship Id="rId29" Type="http://schemas.openxmlformats.org/officeDocument/2006/relationships/hyperlink" Target="https://www.motir.go.kr/kor/article/ATCL3c536e4ec/79798/view" TargetMode="External"/><Relationship Id="rId30" Type="http://schemas.openxmlformats.org/officeDocument/2006/relationships/hyperlink" Target="https://www.reuters.com/world/asia-pacific/south-koreas-lee-wants-military-airbase-relocated-by-mid-2028-chip-cluster-2026-08-10/" TargetMode="External"/><Relationship Id="rId31" Type="http://schemas.openxmlformats.org/officeDocument/2006/relationships/hyperlink" Target="https://digital-strategy.ec.europa.eu/en/policies/chips-act-2" TargetMode="External"/><Relationship Id="rId32" Type="http://schemas.openxmlformats.org/officeDocument/2006/relationships/hyperlink" Target="https://www.edb.gov.sg/en/business-insights/insights/budget-2026-singapore-commits-s800-million-to-semiconductor-research-and-development-to-deepen-high-impact-tech-capabilities.html"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www.trendforce.com/news/2025/09/19/news-japan-pledged-jpy-536-billion-to-micron-escalating-global-semiconductor-subsidy-race/" TargetMode="External"/><Relationship Id="rId2" Type="http://schemas.openxmlformats.org/officeDocument/2006/relationships/hyperlink" Target="https://www.commerce.gov/news/press-releases/2025/01/department-commerce-finalizes-long-term-partnership-natcast-operate?" TargetMode="External"/><Relationship Id="rId3" Type="http://schemas.openxmlformats.org/officeDocument/2006/relationships/hyperlink" Target="https://www.manufacturingusa.com/news/biden-harris-administration-awards-semiconductor-research-corporation-manufacturing-consortium?" TargetMode="External"/><Relationship Id="rId4" Type="http://schemas.openxmlformats.org/officeDocument/2006/relationships/hyperlink" Target="https://www.trendforce.com/news/2025/10/31/" TargetMode="External"/><Relationship Id="rId5" Type="http://schemas.openxmlformats.org/officeDocument/2006/relationships/hyperlink" Target="https://www.trendforce.com/news/2025/11/05/" TargetMode="External"/><Relationship Id="rId6" Type="http://schemas.openxmlformats.org/officeDocument/2006/relationships/hyperlink" Target="https://www.intc.com/news-events/press-releases/detail/1748/intel-and-trump-administration-reach-historic-agreement-to?" TargetMode="External"/><Relationship Id="rId7" Type="http://schemas.openxmlformats.org/officeDocument/2006/relationships/hyperlink" Target="https://www.nist.gov/news-events/news/2026/01/department-commerces-chips-program-announces-letter-intent-usa-rare-earth?" TargetMode="External"/><Relationship Id="rId8" Type="http://schemas.openxmlformats.org/officeDocument/2006/relationships/hyperlink" Target="https://www.nist.gov/news-events/news/2026/01/department-commerces-chips-program-announces-letter-intent-usa-rare-earth?" TargetMode="External"/><Relationship Id="rId9" Type="http://schemas.openxmlformats.org/officeDocument/2006/relationships/hyperlink" Target="https://www.meti.go.jp/policy/economy/economic_security/semicon/nintei_anpohandoutai_keikaku_01.pdf" TargetMode="External"/><Relationship Id="rId10" Type="http://schemas.openxmlformats.org/officeDocument/2006/relationships/hyperlink" Target="https://gov.texas.gov/news/post/governor-abbott-announces-texas-semiconductor-innovation-fund-grant-to-coherent-corp" TargetMode="External"/><Relationship Id="rId11" Type="http://schemas.openxmlformats.org/officeDocument/2006/relationships/hyperlink" Target="https://gov.texas.gov/news/post/governor-abbott-announces-texas-semiconductor-innovation-fund-grant-to-arm-inc" TargetMode="External"/><Relationship Id="rId12" Type="http://schemas.openxmlformats.org/officeDocument/2006/relationships/hyperlink" Target="https://gov.texas.gov/news/post/governor-abbott-announces-texas-semiconductor-innovation-fund-grant-to-texas-am-university" TargetMode="External"/><Relationship Id="rId13" Type="http://schemas.openxmlformats.org/officeDocument/2006/relationships/hyperlink" Target="https://towersemi.com/2026/07/14/07142026/"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48576"/>
  <sheetViews>
    <sheetView showFormulas="false" showGridLines="false" showRowColHeaders="true" showZeros="true" rightToLeft="false" tabSelected="false" showOutlineSymbols="true" defaultGridColor="true" view="normal" topLeftCell="A1" colorId="64" zoomScale="62" zoomScaleNormal="62" zoomScalePageLayoutView="100" workbookViewId="0">
      <pane xSplit="11" ySplit="1" topLeftCell="L27" activePane="bottomRight" state="frozen"/>
      <selection pane="topLeft" activeCell="A1" activeCellId="0" sqref="A1"/>
      <selection pane="topRight" activeCell="L1" activeCellId="0" sqref="L1"/>
      <selection pane="bottomLeft" activeCell="A27" activeCellId="0" sqref="A27"/>
      <selection pane="bottomRight" activeCell="A32" activeCellId="0" sqref="A32"/>
    </sheetView>
  </sheetViews>
  <sheetFormatPr defaultColWidth="10.62890625" defaultRowHeight="15.75" zeroHeight="false" outlineLevelRow="0" outlineLevelCol="0"/>
  <cols>
    <col collapsed="false" customWidth="true" hidden="false" outlineLevel="0" max="1" min="1" style="1" width="18.37"/>
    <col collapsed="false" customWidth="true" hidden="false" outlineLevel="0" max="2" min="2" style="1" width="14"/>
    <col collapsed="false" customWidth="true" hidden="false" outlineLevel="0" max="3" min="3" style="1" width="22.63"/>
    <col collapsed="false" customWidth="true" hidden="false" outlineLevel="0" max="4" min="4" style="1" width="18.12"/>
    <col collapsed="false" customWidth="true" hidden="false" outlineLevel="0" max="6" min="5" style="1" width="21.63"/>
    <col collapsed="false" customWidth="true" hidden="false" outlineLevel="0" max="7" min="7" style="1" width="11.12"/>
    <col collapsed="false" customWidth="true" hidden="false" outlineLevel="0" max="8" min="8" style="1" width="18.37"/>
    <col collapsed="false" customWidth="true" hidden="false" outlineLevel="0" max="9" min="9" style="1" width="20.12"/>
    <col collapsed="false" customWidth="true" hidden="false" outlineLevel="0" max="10" min="10" style="1" width="49.87"/>
    <col collapsed="false" customWidth="true" hidden="false" outlineLevel="0" max="11" min="11" style="1" width="32.5"/>
    <col collapsed="false" customWidth="true" hidden="false" outlineLevel="0" max="12" min="12" style="2" width="12.75"/>
    <col collapsed="false" customWidth="true" hidden="false" outlineLevel="0" max="15" min="15" style="1" width="10.37"/>
    <col collapsed="false" customWidth="true" hidden="false" outlineLevel="0" max="16" min="16" style="1" width="20.63"/>
  </cols>
  <sheetData>
    <row r="1" customFormat="false" ht="114.75" hidden="false" customHeight="true" outlineLevel="0" collapsed="false">
      <c r="A1" s="3" t="s">
        <v>0</v>
      </c>
      <c r="B1" s="3" t="s">
        <v>1</v>
      </c>
      <c r="C1" s="3" t="s">
        <v>2</v>
      </c>
      <c r="D1" s="3" t="s">
        <v>3</v>
      </c>
      <c r="E1" s="3" t="s">
        <v>4</v>
      </c>
      <c r="F1" s="3" t="s">
        <v>5</v>
      </c>
      <c r="G1" s="3" t="s">
        <v>6</v>
      </c>
      <c r="H1" s="3" t="s">
        <v>7</v>
      </c>
      <c r="I1" s="3" t="s">
        <v>8</v>
      </c>
      <c r="J1" s="3" t="s">
        <v>9</v>
      </c>
      <c r="K1" s="4" t="s">
        <v>10</v>
      </c>
      <c r="L1" s="4" t="s">
        <v>11</v>
      </c>
      <c r="M1" s="4" t="s">
        <v>12</v>
      </c>
      <c r="N1" s="4" t="s">
        <v>13</v>
      </c>
      <c r="O1" s="4" t="s">
        <v>14</v>
      </c>
      <c r="P1" s="4" t="s">
        <v>15</v>
      </c>
    </row>
    <row r="2" customFormat="false" ht="114.75" hidden="false" customHeight="true" outlineLevel="0" collapsed="false">
      <c r="A2" s="5" t="s">
        <v>16</v>
      </c>
      <c r="B2" s="5" t="n">
        <v>1</v>
      </c>
      <c r="C2" s="5" t="s">
        <v>17</v>
      </c>
      <c r="D2" s="5" t="s">
        <v>17</v>
      </c>
      <c r="E2" s="5" t="n">
        <v>2022</v>
      </c>
      <c r="F2" s="5" t="s">
        <v>18</v>
      </c>
      <c r="G2" s="6" t="s">
        <v>19</v>
      </c>
      <c r="H2" s="5" t="s">
        <v>20</v>
      </c>
      <c r="I2" s="5" t="s">
        <v>21</v>
      </c>
      <c r="J2" s="5" t="s">
        <v>22</v>
      </c>
      <c r="K2" s="7" t="s">
        <v>23</v>
      </c>
      <c r="L2" s="8" t="s">
        <v>24</v>
      </c>
      <c r="M2" s="5" t="n">
        <v>53000</v>
      </c>
      <c r="N2" s="5" t="n">
        <v>53000</v>
      </c>
      <c r="O2" s="9" t="s">
        <v>25</v>
      </c>
      <c r="P2" s="9" t="s">
        <v>26</v>
      </c>
    </row>
    <row r="3" customFormat="false" ht="114.75" hidden="false" customHeight="true" outlineLevel="0" collapsed="false">
      <c r="A3" s="5" t="s">
        <v>16</v>
      </c>
      <c r="B3" s="5" t="n">
        <v>1</v>
      </c>
      <c r="C3" s="5" t="s">
        <v>27</v>
      </c>
      <c r="D3" s="5" t="s">
        <v>28</v>
      </c>
      <c r="E3" s="5" t="n">
        <v>2023</v>
      </c>
      <c r="F3" s="5" t="s">
        <v>18</v>
      </c>
      <c r="G3" s="6" t="s">
        <v>19</v>
      </c>
      <c r="H3" s="5" t="s">
        <v>29</v>
      </c>
      <c r="I3" s="5" t="s">
        <v>30</v>
      </c>
      <c r="J3" s="5" t="s">
        <v>22</v>
      </c>
      <c r="K3" s="7" t="s">
        <v>31</v>
      </c>
      <c r="L3" s="8" t="s">
        <v>24</v>
      </c>
      <c r="M3" s="10" t="s">
        <v>17</v>
      </c>
      <c r="N3" s="10" t="s">
        <v>17</v>
      </c>
      <c r="O3" s="9"/>
      <c r="P3" s="9"/>
    </row>
    <row r="4" customFormat="false" ht="114.75" hidden="false" customHeight="true" outlineLevel="0" collapsed="false">
      <c r="A4" s="5" t="s">
        <v>32</v>
      </c>
      <c r="B4" s="5" t="n">
        <v>2</v>
      </c>
      <c r="C4" s="5" t="s">
        <v>17</v>
      </c>
      <c r="D4" s="5" t="s">
        <v>17</v>
      </c>
      <c r="E4" s="5" t="n">
        <v>2018</v>
      </c>
      <c r="F4" s="5" t="s">
        <v>33</v>
      </c>
      <c r="G4" s="6" t="s">
        <v>19</v>
      </c>
      <c r="H4" s="5" t="s">
        <v>34</v>
      </c>
      <c r="I4" s="11" t="n">
        <v>0.5</v>
      </c>
      <c r="J4" s="5" t="s">
        <v>35</v>
      </c>
      <c r="K4" s="7" t="s">
        <v>36</v>
      </c>
      <c r="L4" s="8" t="s">
        <v>37</v>
      </c>
      <c r="M4" s="5" t="s">
        <v>17</v>
      </c>
      <c r="N4" s="5" t="s">
        <v>17</v>
      </c>
      <c r="O4" s="9" t="s">
        <v>38</v>
      </c>
      <c r="P4" s="9" t="s">
        <v>34</v>
      </c>
    </row>
    <row r="5" customFormat="false" ht="114.75" hidden="false" customHeight="true" outlineLevel="0" collapsed="false">
      <c r="A5" s="5" t="s">
        <v>39</v>
      </c>
      <c r="B5" s="5" t="n">
        <v>3</v>
      </c>
      <c r="C5" s="5" t="s">
        <v>17</v>
      </c>
      <c r="D5" s="5" t="s">
        <v>17</v>
      </c>
      <c r="E5" s="5" t="n">
        <v>2018</v>
      </c>
      <c r="F5" s="5" t="s">
        <v>33</v>
      </c>
      <c r="G5" s="6" t="s">
        <v>19</v>
      </c>
      <c r="H5" s="5" t="s">
        <v>40</v>
      </c>
      <c r="I5" s="5" t="s">
        <v>17</v>
      </c>
      <c r="J5" s="5" t="s">
        <v>41</v>
      </c>
      <c r="K5" s="7" t="s">
        <v>42</v>
      </c>
      <c r="L5" s="8" t="s">
        <v>43</v>
      </c>
      <c r="M5" s="10" t="s">
        <v>17</v>
      </c>
      <c r="N5" s="10" t="s">
        <v>17</v>
      </c>
      <c r="O5" s="10" t="s">
        <v>44</v>
      </c>
      <c r="P5" s="10" t="s">
        <v>45</v>
      </c>
    </row>
    <row r="6" customFormat="false" ht="114.75" hidden="false" customHeight="true" outlineLevel="0" collapsed="false">
      <c r="A6" s="5" t="s">
        <v>46</v>
      </c>
      <c r="B6" s="5" t="n">
        <v>4</v>
      </c>
      <c r="C6" s="5" t="s">
        <v>17</v>
      </c>
      <c r="D6" s="5" t="s">
        <v>17</v>
      </c>
      <c r="E6" s="5" t="n">
        <v>2018</v>
      </c>
      <c r="F6" s="5" t="s">
        <v>47</v>
      </c>
      <c r="G6" s="6" t="s">
        <v>19</v>
      </c>
      <c r="H6" s="5" t="s">
        <v>48</v>
      </c>
      <c r="I6" s="5" t="s">
        <v>17</v>
      </c>
      <c r="J6" s="5" t="s">
        <v>49</v>
      </c>
      <c r="K6" s="7" t="s">
        <v>50</v>
      </c>
      <c r="L6" s="8" t="s">
        <v>51</v>
      </c>
      <c r="M6" s="10" t="s">
        <v>17</v>
      </c>
      <c r="N6" s="10" t="s">
        <v>17</v>
      </c>
      <c r="O6" s="10" t="s">
        <v>44</v>
      </c>
      <c r="P6" s="10" t="s">
        <v>45</v>
      </c>
    </row>
    <row r="7" customFormat="false" ht="114.75" hidden="false" customHeight="true" outlineLevel="0" collapsed="false">
      <c r="A7" s="5" t="s">
        <v>39</v>
      </c>
      <c r="B7" s="5" t="n">
        <v>3</v>
      </c>
      <c r="C7" s="5" t="s">
        <v>52</v>
      </c>
      <c r="D7" s="5" t="s">
        <v>28</v>
      </c>
      <c r="E7" s="5" t="n">
        <v>2022</v>
      </c>
      <c r="F7" s="5" t="s">
        <v>53</v>
      </c>
      <c r="G7" s="6" t="s">
        <v>19</v>
      </c>
      <c r="H7" s="5" t="s">
        <v>40</v>
      </c>
      <c r="I7" s="5" t="s">
        <v>17</v>
      </c>
      <c r="J7" s="5" t="s">
        <v>54</v>
      </c>
      <c r="K7" s="12" t="s">
        <v>55</v>
      </c>
      <c r="L7" s="8" t="s">
        <v>56</v>
      </c>
      <c r="M7" s="10" t="s">
        <v>17</v>
      </c>
      <c r="N7" s="10" t="s">
        <v>17</v>
      </c>
      <c r="O7" s="10" t="s">
        <v>44</v>
      </c>
      <c r="P7" s="9" t="s">
        <v>45</v>
      </c>
    </row>
    <row r="8" customFormat="false" ht="114.75" hidden="false" customHeight="true" outlineLevel="0" collapsed="false">
      <c r="A8" s="5" t="s">
        <v>57</v>
      </c>
      <c r="B8" s="5" t="n">
        <v>5</v>
      </c>
      <c r="C8" s="5" t="s">
        <v>17</v>
      </c>
      <c r="D8" s="5" t="s">
        <v>17</v>
      </c>
      <c r="E8" s="5" t="n">
        <v>2022</v>
      </c>
      <c r="F8" s="5" t="s">
        <v>58</v>
      </c>
      <c r="G8" s="6" t="s">
        <v>19</v>
      </c>
      <c r="H8" s="5" t="s">
        <v>59</v>
      </c>
      <c r="I8" s="5" t="s">
        <v>60</v>
      </c>
      <c r="J8" s="5" t="s">
        <v>61</v>
      </c>
      <c r="K8" s="7" t="s">
        <v>62</v>
      </c>
      <c r="L8" s="13" t="s">
        <v>63</v>
      </c>
      <c r="M8" s="5" t="n">
        <v>20000</v>
      </c>
      <c r="N8" s="5" t="n">
        <v>20000</v>
      </c>
      <c r="O8" s="10" t="s">
        <v>25</v>
      </c>
      <c r="P8" s="9" t="s">
        <v>59</v>
      </c>
    </row>
    <row r="9" customFormat="false" ht="114.75" hidden="false" customHeight="true" outlineLevel="0" collapsed="false">
      <c r="A9" s="5" t="s">
        <v>64</v>
      </c>
      <c r="B9" s="5" t="n">
        <v>6</v>
      </c>
      <c r="C9" s="5" t="s">
        <v>17</v>
      </c>
      <c r="D9" s="5" t="s">
        <v>17</v>
      </c>
      <c r="E9" s="5" t="n">
        <v>2023</v>
      </c>
      <c r="F9" s="5" t="s">
        <v>65</v>
      </c>
      <c r="G9" s="6" t="s">
        <v>19</v>
      </c>
      <c r="H9" s="5" t="s">
        <v>66</v>
      </c>
      <c r="I9" s="5" t="s">
        <v>67</v>
      </c>
      <c r="J9" s="5" t="s">
        <v>68</v>
      </c>
      <c r="K9" s="7" t="s">
        <v>69</v>
      </c>
      <c r="L9" s="8" t="s">
        <v>70</v>
      </c>
      <c r="M9" s="5" t="n">
        <v>1600</v>
      </c>
      <c r="N9" s="5" t="n">
        <v>1600</v>
      </c>
      <c r="O9" s="10" t="s">
        <v>25</v>
      </c>
      <c r="P9" s="9" t="s">
        <v>66</v>
      </c>
    </row>
    <row r="10" customFormat="false" ht="114.75" hidden="false" customHeight="true" outlineLevel="0" collapsed="false">
      <c r="A10" s="5" t="s">
        <v>71</v>
      </c>
      <c r="B10" s="5" t="n">
        <v>7</v>
      </c>
      <c r="C10" s="5" t="s">
        <v>17</v>
      </c>
      <c r="D10" s="5" t="s">
        <v>17</v>
      </c>
      <c r="E10" s="5" t="s">
        <v>72</v>
      </c>
      <c r="F10" s="5" t="s">
        <v>72</v>
      </c>
      <c r="G10" s="6" t="s">
        <v>73</v>
      </c>
      <c r="H10" s="5" t="s">
        <v>74</v>
      </c>
      <c r="I10" s="5" t="s">
        <v>30</v>
      </c>
      <c r="J10" s="5" t="s">
        <v>68</v>
      </c>
      <c r="K10" s="7" t="s">
        <v>75</v>
      </c>
      <c r="L10" s="14" t="s">
        <v>76</v>
      </c>
      <c r="M10" s="10" t="s">
        <v>17</v>
      </c>
      <c r="N10" s="10" t="s">
        <v>17</v>
      </c>
      <c r="O10" s="10" t="s">
        <v>25</v>
      </c>
      <c r="P10" s="10" t="s">
        <v>26</v>
      </c>
    </row>
    <row r="11" customFormat="false" ht="114.75" hidden="false" customHeight="true" outlineLevel="0" collapsed="false">
      <c r="A11" s="5" t="s">
        <v>77</v>
      </c>
      <c r="B11" s="5" t="n">
        <v>8</v>
      </c>
      <c r="C11" s="5" t="s">
        <v>17</v>
      </c>
      <c r="D11" s="5" t="s">
        <v>17</v>
      </c>
      <c r="E11" s="5" t="n">
        <v>2014</v>
      </c>
      <c r="F11" s="5" t="s">
        <v>78</v>
      </c>
      <c r="G11" s="6" t="s">
        <v>73</v>
      </c>
      <c r="H11" s="5" t="s">
        <v>79</v>
      </c>
      <c r="I11" s="5" t="s">
        <v>17</v>
      </c>
      <c r="J11" s="5" t="s">
        <v>80</v>
      </c>
      <c r="K11" s="7" t="s">
        <v>81</v>
      </c>
      <c r="L11" s="14"/>
      <c r="M11" s="10"/>
      <c r="N11" s="10"/>
      <c r="O11" s="10" t="s">
        <v>25</v>
      </c>
      <c r="P11" s="10" t="s">
        <v>82</v>
      </c>
    </row>
    <row r="12" customFormat="false" ht="114.75" hidden="false" customHeight="true" outlineLevel="0" collapsed="false">
      <c r="A12" s="5" t="s">
        <v>77</v>
      </c>
      <c r="B12" s="5" t="n">
        <v>8</v>
      </c>
      <c r="C12" s="5" t="s">
        <v>83</v>
      </c>
      <c r="D12" s="5" t="s">
        <v>28</v>
      </c>
      <c r="E12" s="5" t="n">
        <v>2014</v>
      </c>
      <c r="F12" s="5" t="s">
        <v>84</v>
      </c>
      <c r="G12" s="6" t="s">
        <v>73</v>
      </c>
      <c r="H12" s="5" t="s">
        <v>79</v>
      </c>
      <c r="I12" s="5" t="s">
        <v>85</v>
      </c>
      <c r="J12" s="5" t="s">
        <v>86</v>
      </c>
      <c r="K12" s="7" t="s">
        <v>87</v>
      </c>
      <c r="L12" s="8" t="s">
        <v>88</v>
      </c>
      <c r="M12" s="5" t="n">
        <v>19400</v>
      </c>
      <c r="N12" s="5" t="n">
        <f aca="false">M12</f>
        <v>19400</v>
      </c>
      <c r="O12" s="10" t="s">
        <v>25</v>
      </c>
      <c r="P12" s="9" t="s">
        <v>82</v>
      </c>
    </row>
    <row r="13" customFormat="false" ht="114.75" hidden="false" customHeight="true" outlineLevel="0" collapsed="false">
      <c r="A13" s="5" t="s">
        <v>77</v>
      </c>
      <c r="B13" s="5" t="n">
        <v>8</v>
      </c>
      <c r="C13" s="5" t="s">
        <v>89</v>
      </c>
      <c r="D13" s="5" t="s">
        <v>90</v>
      </c>
      <c r="E13" s="5" t="n">
        <v>2019</v>
      </c>
      <c r="F13" s="5" t="s">
        <v>91</v>
      </c>
      <c r="G13" s="6" t="s">
        <v>73</v>
      </c>
      <c r="H13" s="5" t="s">
        <v>79</v>
      </c>
      <c r="I13" s="5" t="s">
        <v>92</v>
      </c>
      <c r="J13" s="5" t="s">
        <v>86</v>
      </c>
      <c r="K13" s="7" t="s">
        <v>93</v>
      </c>
      <c r="L13" s="14" t="s">
        <v>94</v>
      </c>
      <c r="M13" s="5" t="n">
        <v>28600</v>
      </c>
      <c r="N13" s="5" t="n">
        <f aca="false">M13</f>
        <v>28600</v>
      </c>
      <c r="O13" s="10" t="s">
        <v>25</v>
      </c>
      <c r="P13" s="9" t="s">
        <v>82</v>
      </c>
    </row>
    <row r="14" customFormat="false" ht="114.75" hidden="false" customHeight="true" outlineLevel="0" collapsed="false">
      <c r="A14" s="5" t="s">
        <v>77</v>
      </c>
      <c r="B14" s="5" t="n">
        <v>8</v>
      </c>
      <c r="C14" s="5" t="s">
        <v>95</v>
      </c>
      <c r="D14" s="5" t="s">
        <v>96</v>
      </c>
      <c r="E14" s="5" t="n">
        <v>2024</v>
      </c>
      <c r="F14" s="5" t="s">
        <v>97</v>
      </c>
      <c r="G14" s="6" t="s">
        <v>73</v>
      </c>
      <c r="H14" s="5" t="s">
        <v>79</v>
      </c>
      <c r="I14" s="5" t="s">
        <v>98</v>
      </c>
      <c r="J14" s="5" t="s">
        <v>99</v>
      </c>
      <c r="K14" s="7" t="s">
        <v>100</v>
      </c>
      <c r="L14" s="14" t="s">
        <v>101</v>
      </c>
      <c r="M14" s="5" t="n">
        <v>48200</v>
      </c>
      <c r="N14" s="5" t="n">
        <f aca="false">M14</f>
        <v>48200</v>
      </c>
      <c r="O14" s="10" t="s">
        <v>38</v>
      </c>
      <c r="P14" s="9" t="s">
        <v>82</v>
      </c>
    </row>
    <row r="15" customFormat="false" ht="114.75" hidden="false" customHeight="true" outlineLevel="0" collapsed="false">
      <c r="A15" s="5" t="s">
        <v>102</v>
      </c>
      <c r="B15" s="5" t="n">
        <v>9</v>
      </c>
      <c r="C15" s="5" t="s">
        <v>17</v>
      </c>
      <c r="D15" s="5" t="s">
        <v>17</v>
      </c>
      <c r="E15" s="5" t="n">
        <v>2020</v>
      </c>
      <c r="F15" s="5" t="s">
        <v>47</v>
      </c>
      <c r="G15" s="6" t="s">
        <v>73</v>
      </c>
      <c r="H15" s="5" t="s">
        <v>103</v>
      </c>
      <c r="I15" s="5" t="s">
        <v>17</v>
      </c>
      <c r="J15" s="5" t="s">
        <v>104</v>
      </c>
      <c r="K15" s="7" t="s">
        <v>105</v>
      </c>
      <c r="L15" s="8" t="s">
        <v>106</v>
      </c>
      <c r="M15" s="10" t="s">
        <v>17</v>
      </c>
      <c r="N15" s="5" t="str">
        <f aca="false">M15</f>
        <v>-</v>
      </c>
      <c r="O15" s="10" t="s">
        <v>107</v>
      </c>
      <c r="P15" s="9" t="s">
        <v>59</v>
      </c>
    </row>
    <row r="16" customFormat="false" ht="114.75" hidden="false" customHeight="true" outlineLevel="0" collapsed="false">
      <c r="A16" s="5" t="s">
        <v>108</v>
      </c>
      <c r="B16" s="5" t="n">
        <v>10</v>
      </c>
      <c r="C16" s="5" t="s">
        <v>17</v>
      </c>
      <c r="D16" s="5" t="s">
        <v>17</v>
      </c>
      <c r="E16" s="5" t="n">
        <v>2023</v>
      </c>
      <c r="F16" s="5" t="s">
        <v>109</v>
      </c>
      <c r="G16" s="5" t="s">
        <v>73</v>
      </c>
      <c r="H16" s="5" t="s">
        <v>40</v>
      </c>
      <c r="I16" s="5" t="s">
        <v>17</v>
      </c>
      <c r="J16" s="5" t="s">
        <v>110</v>
      </c>
      <c r="K16" s="7" t="s">
        <v>111</v>
      </c>
      <c r="L16" s="14" t="s">
        <v>112</v>
      </c>
      <c r="M16" s="10" t="s">
        <v>17</v>
      </c>
      <c r="N16" s="5" t="str">
        <f aca="false">M16</f>
        <v>-</v>
      </c>
      <c r="O16" s="10" t="s">
        <v>110</v>
      </c>
      <c r="P16" s="10" t="s">
        <v>45</v>
      </c>
    </row>
    <row r="17" customFormat="false" ht="114.75" hidden="false" customHeight="true" outlineLevel="0" collapsed="false">
      <c r="A17" s="5" t="s">
        <v>113</v>
      </c>
      <c r="B17" s="5" t="n">
        <v>11</v>
      </c>
      <c r="C17" s="5" t="s">
        <v>17</v>
      </c>
      <c r="D17" s="5" t="s">
        <v>17</v>
      </c>
      <c r="E17" s="5" t="n">
        <v>2023</v>
      </c>
      <c r="F17" s="5" t="s">
        <v>114</v>
      </c>
      <c r="G17" s="5" t="s">
        <v>115</v>
      </c>
      <c r="H17" s="5" t="s">
        <v>59</v>
      </c>
      <c r="I17" s="5" t="s">
        <v>17</v>
      </c>
      <c r="J17" s="5" t="s">
        <v>116</v>
      </c>
      <c r="K17" s="7" t="s">
        <v>117</v>
      </c>
      <c r="L17" s="8" t="s">
        <v>118</v>
      </c>
      <c r="M17" s="10" t="s">
        <v>17</v>
      </c>
      <c r="N17" s="5" t="str">
        <f aca="false">M17</f>
        <v>-</v>
      </c>
      <c r="O17" s="10" t="s">
        <v>119</v>
      </c>
      <c r="P17" s="9" t="s">
        <v>59</v>
      </c>
    </row>
    <row r="18" customFormat="false" ht="114.75" hidden="false" customHeight="true" outlineLevel="0" collapsed="false">
      <c r="A18" s="5" t="s">
        <v>120</v>
      </c>
      <c r="B18" s="5" t="n">
        <v>12</v>
      </c>
      <c r="C18" s="5" t="s">
        <v>17</v>
      </c>
      <c r="D18" s="5" t="s">
        <v>17</v>
      </c>
      <c r="E18" s="5" t="n">
        <v>2023</v>
      </c>
      <c r="F18" s="5" t="s">
        <v>121</v>
      </c>
      <c r="G18" s="5" t="s">
        <v>115</v>
      </c>
      <c r="H18" s="5" t="s">
        <v>66</v>
      </c>
      <c r="I18" s="5" t="s">
        <v>122</v>
      </c>
      <c r="J18" s="5" t="s">
        <v>123</v>
      </c>
      <c r="K18" s="7" t="s">
        <v>124</v>
      </c>
      <c r="L18" s="8" t="s">
        <v>125</v>
      </c>
      <c r="M18" s="10" t="n">
        <v>9800</v>
      </c>
      <c r="N18" s="5" t="n">
        <f aca="false">M18</f>
        <v>9800</v>
      </c>
      <c r="O18" s="10" t="s">
        <v>119</v>
      </c>
      <c r="P18" s="10" t="s">
        <v>26</v>
      </c>
    </row>
    <row r="19" customFormat="false" ht="114.75" hidden="false" customHeight="true" outlineLevel="0" collapsed="false">
      <c r="A19" s="5" t="s">
        <v>126</v>
      </c>
      <c r="B19" s="5" t="n">
        <v>13</v>
      </c>
      <c r="C19" s="5" t="s">
        <v>17</v>
      </c>
      <c r="D19" s="5" t="s">
        <v>17</v>
      </c>
      <c r="E19" s="5" t="n">
        <v>2019</v>
      </c>
      <c r="F19" s="5" t="s">
        <v>127</v>
      </c>
      <c r="G19" s="5" t="s">
        <v>128</v>
      </c>
      <c r="H19" s="5" t="s">
        <v>40</v>
      </c>
      <c r="I19" s="5" t="s">
        <v>17</v>
      </c>
      <c r="J19" s="5" t="s">
        <v>110</v>
      </c>
      <c r="K19" s="7" t="s">
        <v>129</v>
      </c>
      <c r="L19" s="8" t="s">
        <v>130</v>
      </c>
      <c r="M19" s="10" t="s">
        <v>17</v>
      </c>
      <c r="N19" s="5" t="str">
        <f aca="false">M19</f>
        <v>-</v>
      </c>
      <c r="O19" s="10" t="s">
        <v>110</v>
      </c>
      <c r="P19" s="10" t="s">
        <v>45</v>
      </c>
    </row>
    <row r="20" customFormat="false" ht="114.75" hidden="false" customHeight="true" outlineLevel="0" collapsed="false">
      <c r="A20" s="5" t="s">
        <v>131</v>
      </c>
      <c r="B20" s="5" t="n">
        <v>14</v>
      </c>
      <c r="C20" s="5" t="s">
        <v>17</v>
      </c>
      <c r="D20" s="5" t="s">
        <v>17</v>
      </c>
      <c r="E20" s="5" t="n">
        <v>2024</v>
      </c>
      <c r="F20" s="5" t="s">
        <v>132</v>
      </c>
      <c r="G20" s="5" t="s">
        <v>128</v>
      </c>
      <c r="H20" s="5" t="s">
        <v>133</v>
      </c>
      <c r="I20" s="5" t="s">
        <v>134</v>
      </c>
      <c r="J20" s="5" t="s">
        <v>135</v>
      </c>
      <c r="K20" s="7" t="s">
        <v>136</v>
      </c>
      <c r="L20" s="8" t="s">
        <v>137</v>
      </c>
      <c r="M20" s="5" t="n">
        <v>65000</v>
      </c>
      <c r="N20" s="5" t="n">
        <f aca="false">M20</f>
        <v>65000</v>
      </c>
      <c r="O20" s="10" t="s">
        <v>107</v>
      </c>
      <c r="P20" s="10" t="s">
        <v>26</v>
      </c>
    </row>
    <row r="21" customFormat="false" ht="114.75" hidden="false" customHeight="true" outlineLevel="0" collapsed="false">
      <c r="A21" s="5" t="s">
        <v>138</v>
      </c>
      <c r="B21" s="5" t="n">
        <v>15</v>
      </c>
      <c r="C21" s="5" t="s">
        <v>17</v>
      </c>
      <c r="D21" s="5" t="s">
        <v>17</v>
      </c>
      <c r="E21" s="5" t="n">
        <v>2021</v>
      </c>
      <c r="F21" s="5" t="s">
        <v>139</v>
      </c>
      <c r="G21" s="5" t="s">
        <v>128</v>
      </c>
      <c r="H21" s="5" t="s">
        <v>140</v>
      </c>
      <c r="I21" s="5" t="s">
        <v>17</v>
      </c>
      <c r="J21" s="5" t="s">
        <v>141</v>
      </c>
      <c r="K21" s="7" t="s">
        <v>142</v>
      </c>
      <c r="L21" s="14" t="s">
        <v>143</v>
      </c>
      <c r="M21" s="5"/>
      <c r="N21" s="5"/>
      <c r="O21" s="10" t="s">
        <v>107</v>
      </c>
      <c r="P21" s="10" t="s">
        <v>26</v>
      </c>
    </row>
    <row r="22" customFormat="false" ht="114.75" hidden="false" customHeight="true" outlineLevel="0" collapsed="false">
      <c r="A22" s="5" t="s">
        <v>138</v>
      </c>
      <c r="B22" s="5" t="n">
        <v>15</v>
      </c>
      <c r="C22" s="5" t="s">
        <v>144</v>
      </c>
      <c r="D22" s="5" t="s">
        <v>28</v>
      </c>
      <c r="E22" s="5" t="n">
        <v>2021</v>
      </c>
      <c r="F22" s="5" t="s">
        <v>139</v>
      </c>
      <c r="G22" s="5" t="s">
        <v>128</v>
      </c>
      <c r="H22" s="5" t="s">
        <v>140</v>
      </c>
      <c r="I22" s="5" t="s">
        <v>145</v>
      </c>
      <c r="J22" s="5" t="s">
        <v>141</v>
      </c>
      <c r="K22" s="7" t="s">
        <v>146</v>
      </c>
      <c r="L22" s="14" t="s">
        <v>143</v>
      </c>
      <c r="M22" s="5" t="n">
        <v>17100</v>
      </c>
      <c r="N22" s="5" t="n">
        <f aca="false">M22</f>
        <v>17100</v>
      </c>
      <c r="O22" s="10" t="s">
        <v>25</v>
      </c>
      <c r="P22" s="10" t="s">
        <v>66</v>
      </c>
    </row>
    <row r="23" customFormat="false" ht="114.75" hidden="false" customHeight="true" outlineLevel="0" collapsed="false">
      <c r="A23" s="5" t="s">
        <v>147</v>
      </c>
      <c r="B23" s="5" t="n">
        <v>16</v>
      </c>
      <c r="C23" s="5" t="s">
        <v>17</v>
      </c>
      <c r="D23" s="5" t="s">
        <v>17</v>
      </c>
      <c r="E23" s="5" t="n">
        <v>2022</v>
      </c>
      <c r="F23" s="5" t="s">
        <v>53</v>
      </c>
      <c r="G23" s="5" t="s">
        <v>128</v>
      </c>
      <c r="H23" s="5" t="s">
        <v>148</v>
      </c>
      <c r="I23" s="5" t="s">
        <v>149</v>
      </c>
      <c r="J23" s="5" t="s">
        <v>150</v>
      </c>
      <c r="K23" s="7" t="s">
        <v>151</v>
      </c>
      <c r="L23" s="14" t="s">
        <v>152</v>
      </c>
      <c r="M23" s="10" t="n">
        <v>16500</v>
      </c>
      <c r="N23" s="5" t="n">
        <f aca="false">M23</f>
        <v>16500</v>
      </c>
      <c r="O23" s="10" t="s">
        <v>25</v>
      </c>
      <c r="P23" s="10" t="s">
        <v>66</v>
      </c>
    </row>
    <row r="24" customFormat="false" ht="114.75" hidden="false" customHeight="true" outlineLevel="0" collapsed="false">
      <c r="A24" s="5" t="s">
        <v>138</v>
      </c>
      <c r="B24" s="5" t="n">
        <v>15</v>
      </c>
      <c r="C24" s="5" t="s">
        <v>153</v>
      </c>
      <c r="D24" s="5" t="s">
        <v>90</v>
      </c>
      <c r="E24" s="5" t="n">
        <v>2021</v>
      </c>
      <c r="F24" s="5" t="s">
        <v>139</v>
      </c>
      <c r="G24" s="5" t="s">
        <v>128</v>
      </c>
      <c r="H24" s="5" t="s">
        <v>66</v>
      </c>
      <c r="I24" s="5" t="s">
        <v>154</v>
      </c>
      <c r="J24" s="5" t="s">
        <v>155</v>
      </c>
      <c r="K24" s="7" t="s">
        <v>156</v>
      </c>
      <c r="L24" s="14" t="s">
        <v>157</v>
      </c>
      <c r="M24" s="10" t="n">
        <v>16500</v>
      </c>
      <c r="N24" s="5" t="n">
        <v>16500</v>
      </c>
      <c r="O24" s="10" t="s">
        <v>119</v>
      </c>
      <c r="P24" s="10" t="s">
        <v>66</v>
      </c>
    </row>
    <row r="25" customFormat="false" ht="114.75" hidden="false" customHeight="true" outlineLevel="0" collapsed="false">
      <c r="A25" s="5" t="s">
        <v>158</v>
      </c>
      <c r="B25" s="5" t="n">
        <v>18</v>
      </c>
      <c r="C25" s="5" t="s">
        <v>17</v>
      </c>
      <c r="D25" s="5" t="s">
        <v>17</v>
      </c>
      <c r="E25" s="5" t="n">
        <v>2023</v>
      </c>
      <c r="F25" s="5" t="s">
        <v>109</v>
      </c>
      <c r="G25" s="5" t="s">
        <v>128</v>
      </c>
      <c r="H25" s="5" t="s">
        <v>40</v>
      </c>
      <c r="I25" s="5" t="s">
        <v>17</v>
      </c>
      <c r="J25" s="5" t="s">
        <v>38</v>
      </c>
      <c r="K25" s="7" t="s">
        <v>159</v>
      </c>
      <c r="L25" s="8" t="s">
        <v>160</v>
      </c>
      <c r="M25" s="10" t="s">
        <v>17</v>
      </c>
      <c r="N25" s="5" t="str">
        <f aca="false">M25</f>
        <v>-</v>
      </c>
      <c r="O25" s="10" t="s">
        <v>38</v>
      </c>
      <c r="P25" s="10" t="s">
        <v>45</v>
      </c>
    </row>
    <row r="26" customFormat="false" ht="114.75" hidden="false" customHeight="true" outlineLevel="0" collapsed="false">
      <c r="A26" s="5" t="s">
        <v>161</v>
      </c>
      <c r="B26" s="5" t="n">
        <v>19</v>
      </c>
      <c r="C26" s="5" t="s">
        <v>17</v>
      </c>
      <c r="D26" s="5" t="s">
        <v>17</v>
      </c>
      <c r="E26" s="5" t="n">
        <v>2019</v>
      </c>
      <c r="F26" s="5" t="s">
        <v>162</v>
      </c>
      <c r="G26" s="5" t="s">
        <v>163</v>
      </c>
      <c r="H26" s="5" t="s">
        <v>148</v>
      </c>
      <c r="I26" s="5" t="s">
        <v>164</v>
      </c>
      <c r="J26" s="5" t="s">
        <v>165</v>
      </c>
      <c r="K26" s="7" t="s">
        <v>166</v>
      </c>
      <c r="L26" s="14" t="s">
        <v>167</v>
      </c>
      <c r="M26" s="10" t="n">
        <v>745</v>
      </c>
      <c r="N26" s="5" t="n">
        <f aca="false">M26</f>
        <v>745</v>
      </c>
      <c r="O26" s="10" t="s">
        <v>107</v>
      </c>
      <c r="P26" s="10" t="s">
        <v>26</v>
      </c>
    </row>
    <row r="27" customFormat="false" ht="114.75" hidden="false" customHeight="true" outlineLevel="0" collapsed="false">
      <c r="A27" s="5" t="s">
        <v>168</v>
      </c>
      <c r="B27" s="5" t="n">
        <v>20</v>
      </c>
      <c r="C27" s="5" t="s">
        <v>17</v>
      </c>
      <c r="D27" s="5" t="s">
        <v>17</v>
      </c>
      <c r="E27" s="5" t="n">
        <v>2021</v>
      </c>
      <c r="F27" s="5" t="s">
        <v>139</v>
      </c>
      <c r="G27" s="5" t="s">
        <v>163</v>
      </c>
      <c r="H27" s="5" t="s">
        <v>169</v>
      </c>
      <c r="I27" s="5" t="s">
        <v>170</v>
      </c>
      <c r="J27" s="5" t="s">
        <v>171</v>
      </c>
      <c r="K27" s="7" t="s">
        <v>172</v>
      </c>
      <c r="L27" s="8" t="s">
        <v>173</v>
      </c>
      <c r="M27" s="10" t="n">
        <v>677</v>
      </c>
      <c r="N27" s="5" t="n">
        <f aca="false">M27</f>
        <v>677</v>
      </c>
      <c r="O27" s="10" t="s">
        <v>107</v>
      </c>
      <c r="P27" s="10" t="s">
        <v>26</v>
      </c>
    </row>
    <row r="28" customFormat="false" ht="114.75" hidden="false" customHeight="true" outlineLevel="0" collapsed="false">
      <c r="A28" s="5" t="s">
        <v>174</v>
      </c>
      <c r="B28" s="5" t="n">
        <v>21</v>
      </c>
      <c r="C28" s="5" t="s">
        <v>17</v>
      </c>
      <c r="D28" s="5" t="s">
        <v>17</v>
      </c>
      <c r="E28" s="5" t="n">
        <v>2023</v>
      </c>
      <c r="F28" s="5" t="s">
        <v>175</v>
      </c>
      <c r="G28" s="5" t="s">
        <v>163</v>
      </c>
      <c r="H28" s="5" t="s">
        <v>59</v>
      </c>
      <c r="I28" s="5" t="s">
        <v>17</v>
      </c>
      <c r="J28" s="5" t="s">
        <v>104</v>
      </c>
      <c r="K28" s="7" t="s">
        <v>176</v>
      </c>
      <c r="L28" s="8" t="s">
        <v>177</v>
      </c>
      <c r="M28" s="10" t="s">
        <v>17</v>
      </c>
      <c r="N28" s="5" t="str">
        <f aca="false">M28</f>
        <v>-</v>
      </c>
      <c r="O28" s="10" t="s">
        <v>25</v>
      </c>
      <c r="P28" s="10" t="s">
        <v>59</v>
      </c>
    </row>
    <row r="29" customFormat="false" ht="114.75" hidden="false" customHeight="true" outlineLevel="0" collapsed="false">
      <c r="A29" s="5" t="s">
        <v>174</v>
      </c>
      <c r="B29" s="5" t="n">
        <v>21</v>
      </c>
      <c r="C29" s="5" t="s">
        <v>178</v>
      </c>
      <c r="D29" s="5" t="s">
        <v>28</v>
      </c>
      <c r="E29" s="5" t="n">
        <v>2025</v>
      </c>
      <c r="F29" s="5" t="s">
        <v>179</v>
      </c>
      <c r="G29" s="5" t="s">
        <v>163</v>
      </c>
      <c r="H29" s="5" t="s">
        <v>59</v>
      </c>
      <c r="I29" s="5" t="s">
        <v>17</v>
      </c>
      <c r="J29" s="5" t="s">
        <v>104</v>
      </c>
      <c r="K29" s="7" t="s">
        <v>180</v>
      </c>
      <c r="L29" s="8" t="s">
        <v>181</v>
      </c>
      <c r="M29" s="10" t="s">
        <v>17</v>
      </c>
      <c r="N29" s="5" t="str">
        <f aca="false">M29</f>
        <v>-</v>
      </c>
      <c r="O29" s="10" t="s">
        <v>25</v>
      </c>
      <c r="P29" s="10" t="s">
        <v>59</v>
      </c>
    </row>
    <row r="30" customFormat="false" ht="114.75" hidden="false" customHeight="true" outlineLevel="0" collapsed="false">
      <c r="A30" s="5" t="s">
        <v>182</v>
      </c>
      <c r="B30" s="5" t="n">
        <v>22</v>
      </c>
      <c r="C30" s="5" t="s">
        <v>17</v>
      </c>
      <c r="D30" s="5" t="s">
        <v>17</v>
      </c>
      <c r="E30" s="5" t="n">
        <v>2024</v>
      </c>
      <c r="F30" s="5" t="s">
        <v>132</v>
      </c>
      <c r="G30" s="5" t="s">
        <v>163</v>
      </c>
      <c r="H30" s="5" t="s">
        <v>74</v>
      </c>
      <c r="I30" s="5" t="s">
        <v>17</v>
      </c>
      <c r="J30" s="5" t="s">
        <v>25</v>
      </c>
      <c r="K30" s="7" t="s">
        <v>183</v>
      </c>
      <c r="L30" s="14" t="s">
        <v>184</v>
      </c>
      <c r="M30" s="10" t="s">
        <v>17</v>
      </c>
      <c r="N30" s="5" t="str">
        <f aca="false">M30</f>
        <v>-</v>
      </c>
      <c r="O30" s="10" t="s">
        <v>25</v>
      </c>
      <c r="P30" s="10" t="s">
        <v>74</v>
      </c>
    </row>
    <row r="31" customFormat="false" ht="114.75" hidden="false" customHeight="true" outlineLevel="0" collapsed="false">
      <c r="A31" s="5" t="s">
        <v>185</v>
      </c>
      <c r="B31" s="5" t="n">
        <v>23</v>
      </c>
      <c r="C31" s="5" t="s">
        <v>17</v>
      </c>
      <c r="D31" s="5" t="s">
        <v>17</v>
      </c>
      <c r="E31" s="5" t="n">
        <v>2024</v>
      </c>
      <c r="F31" s="5" t="s">
        <v>132</v>
      </c>
      <c r="G31" s="5" t="s">
        <v>163</v>
      </c>
      <c r="H31" s="5" t="s">
        <v>186</v>
      </c>
      <c r="I31" s="5" t="s">
        <v>187</v>
      </c>
      <c r="J31" s="5" t="s">
        <v>188</v>
      </c>
      <c r="K31" s="7" t="s">
        <v>189</v>
      </c>
      <c r="L31" s="8" t="s">
        <v>190</v>
      </c>
      <c r="M31" s="5" t="n">
        <v>19000</v>
      </c>
      <c r="N31" s="5" t="n">
        <f aca="false">M31</f>
        <v>19000</v>
      </c>
      <c r="O31" s="10" t="s">
        <v>107</v>
      </c>
      <c r="P31" s="10" t="s">
        <v>82</v>
      </c>
    </row>
    <row r="32" customFormat="false" ht="114.75" hidden="false" customHeight="true" outlineLevel="0" collapsed="false">
      <c r="A32" s="5" t="s">
        <v>191</v>
      </c>
      <c r="B32" s="5" t="n">
        <v>25</v>
      </c>
      <c r="C32" s="5" t="s">
        <v>17</v>
      </c>
      <c r="D32" s="5" t="s">
        <v>17</v>
      </c>
      <c r="E32" s="5" t="n">
        <v>2022</v>
      </c>
      <c r="F32" s="5" t="s">
        <v>192</v>
      </c>
      <c r="G32" s="5" t="s">
        <v>193</v>
      </c>
      <c r="H32" s="5" t="s">
        <v>194</v>
      </c>
      <c r="I32" s="5" t="s">
        <v>195</v>
      </c>
      <c r="J32" s="5" t="s">
        <v>196</v>
      </c>
      <c r="K32" s="7" t="s">
        <v>197</v>
      </c>
      <c r="L32" s="8" t="s">
        <v>198</v>
      </c>
      <c r="M32" s="5" t="n">
        <v>43000</v>
      </c>
      <c r="N32" s="5" t="n">
        <f aca="false">M32*1.17</f>
        <v>50310</v>
      </c>
      <c r="O32" s="10" t="s">
        <v>107</v>
      </c>
      <c r="P32" s="10" t="s">
        <v>26</v>
      </c>
    </row>
    <row r="33" customFormat="false" ht="114.75" hidden="false" customHeight="true" outlineLevel="0" collapsed="false">
      <c r="A33" s="5" t="s">
        <v>199</v>
      </c>
      <c r="B33" s="5" t="n">
        <v>26</v>
      </c>
      <c r="C33" s="5" t="s">
        <v>17</v>
      </c>
      <c r="D33" s="5" t="s">
        <v>17</v>
      </c>
      <c r="E33" s="5" t="n">
        <v>2018</v>
      </c>
      <c r="F33" s="5" t="s">
        <v>127</v>
      </c>
      <c r="G33" s="5" t="s">
        <v>193</v>
      </c>
      <c r="H33" s="5" t="s">
        <v>66</v>
      </c>
      <c r="I33" s="5" t="s">
        <v>200</v>
      </c>
      <c r="J33" s="5" t="s">
        <v>80</v>
      </c>
      <c r="K33" s="7" t="s">
        <v>201</v>
      </c>
      <c r="L33" s="8" t="s">
        <v>202</v>
      </c>
      <c r="M33" s="5" t="n">
        <v>1900</v>
      </c>
      <c r="N33" s="5" t="n">
        <f aca="false">M33*1.17</f>
        <v>2223</v>
      </c>
      <c r="O33" s="10" t="s">
        <v>107</v>
      </c>
      <c r="P33" s="10" t="s">
        <v>66</v>
      </c>
    </row>
    <row r="34" customFormat="false" ht="114.75" hidden="false" customHeight="true" outlineLevel="0" collapsed="false">
      <c r="A34" s="5" t="s">
        <v>191</v>
      </c>
      <c r="B34" s="5" t="n">
        <v>25</v>
      </c>
      <c r="C34" s="5" t="s">
        <v>203</v>
      </c>
      <c r="D34" s="5" t="s">
        <v>28</v>
      </c>
      <c r="E34" s="5" t="n">
        <v>2023</v>
      </c>
      <c r="F34" s="5" t="s">
        <v>204</v>
      </c>
      <c r="G34" s="5" t="s">
        <v>193</v>
      </c>
      <c r="H34" s="5" t="s">
        <v>66</v>
      </c>
      <c r="I34" s="5" t="s">
        <v>205</v>
      </c>
      <c r="J34" s="5" t="s">
        <v>141</v>
      </c>
      <c r="K34" s="7" t="s">
        <v>206</v>
      </c>
      <c r="L34" s="8" t="s">
        <v>207</v>
      </c>
      <c r="M34" s="5" t="n">
        <v>8100</v>
      </c>
      <c r="N34" s="5" t="n">
        <f aca="false">M34*1.17</f>
        <v>9477</v>
      </c>
      <c r="O34" s="10" t="s">
        <v>107</v>
      </c>
      <c r="P34" s="10" t="s">
        <v>66</v>
      </c>
    </row>
    <row r="35" customFormat="false" ht="114.75" hidden="false" customHeight="true" outlineLevel="0" collapsed="false">
      <c r="A35" s="5" t="s">
        <v>208</v>
      </c>
      <c r="B35" s="5" t="n">
        <v>28</v>
      </c>
      <c r="C35" s="5" t="s">
        <v>17</v>
      </c>
      <c r="D35" s="5" t="s">
        <v>17</v>
      </c>
      <c r="E35" s="5" t="n">
        <v>2021</v>
      </c>
      <c r="F35" s="5" t="s">
        <v>139</v>
      </c>
      <c r="G35" s="5" t="s">
        <v>209</v>
      </c>
      <c r="H35" s="5" t="s">
        <v>66</v>
      </c>
      <c r="I35" s="5" t="s">
        <v>210</v>
      </c>
      <c r="J35" s="5" t="s">
        <v>211</v>
      </c>
      <c r="K35" s="7" t="s">
        <v>212</v>
      </c>
      <c r="L35" s="14" t="s">
        <v>213</v>
      </c>
      <c r="M35" s="5" t="n">
        <v>5250</v>
      </c>
      <c r="N35" s="5" t="n">
        <f aca="false">M35*1.17</f>
        <v>6142.5</v>
      </c>
      <c r="O35" s="10" t="s">
        <v>25</v>
      </c>
      <c r="P35" s="10" t="s">
        <v>66</v>
      </c>
    </row>
    <row r="36" customFormat="false" ht="114.75" hidden="false" customHeight="true" outlineLevel="0" collapsed="false">
      <c r="A36" s="5" t="s">
        <v>214</v>
      </c>
      <c r="B36" s="5" t="n">
        <v>29</v>
      </c>
      <c r="C36" s="5" t="s">
        <v>17</v>
      </c>
      <c r="D36" s="5" t="s">
        <v>17</v>
      </c>
      <c r="E36" s="5" t="n">
        <v>2023</v>
      </c>
      <c r="F36" s="5" t="s">
        <v>109</v>
      </c>
      <c r="G36" s="5" t="s">
        <v>215</v>
      </c>
      <c r="H36" s="5" t="s">
        <v>40</v>
      </c>
      <c r="I36" s="5" t="s">
        <v>17</v>
      </c>
      <c r="J36" s="5" t="s">
        <v>38</v>
      </c>
      <c r="K36" s="7" t="s">
        <v>216</v>
      </c>
      <c r="L36" s="8" t="s">
        <v>217</v>
      </c>
      <c r="M36" s="10" t="s">
        <v>17</v>
      </c>
      <c r="N36" s="5" t="s">
        <v>17</v>
      </c>
      <c r="O36" s="10" t="s">
        <v>38</v>
      </c>
      <c r="P36" s="10" t="s">
        <v>45</v>
      </c>
    </row>
    <row r="37" customFormat="false" ht="114.75" hidden="false" customHeight="true" outlineLevel="0" collapsed="false">
      <c r="A37" s="5" t="s">
        <v>218</v>
      </c>
      <c r="B37" s="5" t="n">
        <v>30</v>
      </c>
      <c r="C37" s="5" t="s">
        <v>17</v>
      </c>
      <c r="D37" s="5" t="s">
        <v>17</v>
      </c>
      <c r="E37" s="5" t="n">
        <v>2018</v>
      </c>
      <c r="F37" s="5" t="s">
        <v>219</v>
      </c>
      <c r="G37" s="5" t="s">
        <v>209</v>
      </c>
      <c r="H37" s="5" t="s">
        <v>66</v>
      </c>
      <c r="I37" s="5" t="s">
        <v>220</v>
      </c>
      <c r="J37" s="5" t="s">
        <v>221</v>
      </c>
      <c r="K37" s="7" t="s">
        <v>222</v>
      </c>
      <c r="L37" s="8" t="s">
        <v>223</v>
      </c>
      <c r="M37" s="5" t="n">
        <v>1100</v>
      </c>
      <c r="N37" s="5" t="n">
        <f aca="false">M37*1.17</f>
        <v>1287</v>
      </c>
      <c r="O37" s="10" t="s">
        <v>119</v>
      </c>
      <c r="P37" s="10" t="s">
        <v>66</v>
      </c>
      <c r="R37" s="15"/>
    </row>
    <row r="38" customFormat="false" ht="114.75" hidden="false" customHeight="true" outlineLevel="0" collapsed="false">
      <c r="A38" s="5" t="s">
        <v>224</v>
      </c>
      <c r="B38" s="5" t="n">
        <v>31</v>
      </c>
      <c r="C38" s="5" t="s">
        <v>17</v>
      </c>
      <c r="D38" s="5" t="s">
        <v>17</v>
      </c>
      <c r="E38" s="5" t="n">
        <v>2013</v>
      </c>
      <c r="F38" s="5" t="s">
        <v>225</v>
      </c>
      <c r="G38" s="5" t="s">
        <v>209</v>
      </c>
      <c r="H38" s="5" t="s">
        <v>66</v>
      </c>
      <c r="I38" s="5" t="s">
        <v>226</v>
      </c>
      <c r="J38" s="5" t="s">
        <v>227</v>
      </c>
      <c r="K38" s="7" t="s">
        <v>228</v>
      </c>
      <c r="L38" s="8" t="s">
        <v>223</v>
      </c>
      <c r="M38" s="5" t="n">
        <v>600</v>
      </c>
      <c r="N38" s="5" t="n">
        <f aca="false">M38*1.17</f>
        <v>702</v>
      </c>
      <c r="O38" s="10" t="s">
        <v>119</v>
      </c>
      <c r="P38" s="10" t="s">
        <v>66</v>
      </c>
      <c r="R38" s="15"/>
    </row>
    <row r="39" customFormat="false" ht="114.75" hidden="false" customHeight="true" outlineLevel="0" collapsed="false">
      <c r="A39" s="5" t="s">
        <v>229</v>
      </c>
      <c r="B39" s="5" t="n">
        <v>32</v>
      </c>
      <c r="C39" s="5" t="s">
        <v>17</v>
      </c>
      <c r="D39" s="5" t="s">
        <v>17</v>
      </c>
      <c r="E39" s="5" t="n">
        <v>2023</v>
      </c>
      <c r="F39" s="5" t="s">
        <v>230</v>
      </c>
      <c r="G39" s="5" t="s">
        <v>231</v>
      </c>
      <c r="H39" s="5" t="s">
        <v>66</v>
      </c>
      <c r="I39" s="5" t="s">
        <v>232</v>
      </c>
      <c r="J39" s="5" t="s">
        <v>233</v>
      </c>
      <c r="K39" s="7" t="s">
        <v>234</v>
      </c>
      <c r="L39" s="8" t="s">
        <v>235</v>
      </c>
      <c r="M39" s="5" t="n">
        <v>1000</v>
      </c>
      <c r="N39" s="5" t="n">
        <f aca="false">M39*1.34</f>
        <v>1340</v>
      </c>
      <c r="O39" s="10" t="s">
        <v>107</v>
      </c>
      <c r="P39" s="10" t="s">
        <v>66</v>
      </c>
    </row>
    <row r="40" customFormat="false" ht="114.75" hidden="false" customHeight="true" outlineLevel="0" collapsed="false">
      <c r="A40" s="5" t="s">
        <v>236</v>
      </c>
      <c r="B40" s="5" t="n">
        <v>33</v>
      </c>
      <c r="C40" s="5" t="s">
        <v>17</v>
      </c>
      <c r="D40" s="5" t="s">
        <v>17</v>
      </c>
      <c r="E40" s="5" t="n">
        <v>2020</v>
      </c>
      <c r="F40" s="5" t="s">
        <v>237</v>
      </c>
      <c r="G40" s="5" t="s">
        <v>238</v>
      </c>
      <c r="H40" s="5" t="s">
        <v>239</v>
      </c>
      <c r="I40" s="5" t="s">
        <v>240</v>
      </c>
      <c r="J40" s="5" t="s">
        <v>227</v>
      </c>
      <c r="K40" s="7" t="s">
        <v>241</v>
      </c>
      <c r="L40" s="8" t="s">
        <v>242</v>
      </c>
      <c r="M40" s="5" t="n">
        <v>7720</v>
      </c>
      <c r="N40" s="5" t="n">
        <f aca="false">M40</f>
        <v>7720</v>
      </c>
      <c r="O40" s="10" t="s">
        <v>107</v>
      </c>
      <c r="P40" s="10" t="s">
        <v>26</v>
      </c>
    </row>
    <row r="41" customFormat="false" ht="114.75" hidden="false" customHeight="true" outlineLevel="0" collapsed="false">
      <c r="A41" s="5" t="s">
        <v>243</v>
      </c>
      <c r="B41" s="5" t="n">
        <v>34</v>
      </c>
      <c r="C41" s="5" t="s">
        <v>17</v>
      </c>
      <c r="D41" s="5" t="s">
        <v>17</v>
      </c>
      <c r="E41" s="5" t="n">
        <v>2015</v>
      </c>
      <c r="F41" s="5" t="s">
        <v>244</v>
      </c>
      <c r="G41" s="5" t="s">
        <v>238</v>
      </c>
      <c r="H41" s="5" t="s">
        <v>66</v>
      </c>
      <c r="I41" s="5" t="s">
        <v>245</v>
      </c>
      <c r="J41" s="5" t="s">
        <v>119</v>
      </c>
      <c r="K41" s="7" t="s">
        <v>246</v>
      </c>
      <c r="L41" s="8" t="s">
        <v>247</v>
      </c>
      <c r="M41" s="5" t="n">
        <v>3100</v>
      </c>
      <c r="N41" s="5" t="n">
        <f aca="false">M41</f>
        <v>3100</v>
      </c>
      <c r="O41" s="10" t="s">
        <v>25</v>
      </c>
      <c r="P41" s="10" t="s">
        <v>26</v>
      </c>
    </row>
    <row r="42" customFormat="false" ht="114.75" hidden="false" customHeight="true" outlineLevel="0" collapsed="false">
      <c r="A42" s="5" t="s">
        <v>248</v>
      </c>
      <c r="B42" s="5" t="n">
        <v>35</v>
      </c>
      <c r="C42" s="5" t="s">
        <v>17</v>
      </c>
      <c r="D42" s="5" t="s">
        <v>17</v>
      </c>
      <c r="E42" s="5" t="n">
        <v>2017</v>
      </c>
      <c r="F42" s="5" t="s">
        <v>249</v>
      </c>
      <c r="G42" s="5" t="s">
        <v>238</v>
      </c>
      <c r="H42" s="5" t="s">
        <v>74</v>
      </c>
      <c r="I42" s="5" t="s">
        <v>17</v>
      </c>
      <c r="J42" s="5" t="s">
        <v>250</v>
      </c>
      <c r="K42" s="7" t="s">
        <v>251</v>
      </c>
      <c r="L42" s="8" t="s">
        <v>252</v>
      </c>
      <c r="M42" s="10" t="s">
        <v>17</v>
      </c>
      <c r="N42" s="5" t="str">
        <f aca="false">M42</f>
        <v>-</v>
      </c>
      <c r="O42" s="10" t="s">
        <v>25</v>
      </c>
      <c r="P42" s="10" t="s">
        <v>26</v>
      </c>
    </row>
    <row r="43" customFormat="false" ht="114.75" hidden="false" customHeight="true" outlineLevel="0" collapsed="false">
      <c r="A43" s="5" t="s">
        <v>248</v>
      </c>
      <c r="B43" s="5" t="n">
        <v>35</v>
      </c>
      <c r="C43" s="5" t="s">
        <v>253</v>
      </c>
      <c r="D43" s="5" t="s">
        <v>28</v>
      </c>
      <c r="E43" s="5" t="n">
        <v>2022</v>
      </c>
      <c r="F43" s="5" t="s">
        <v>254</v>
      </c>
      <c r="G43" s="5" t="s">
        <v>238</v>
      </c>
      <c r="H43" s="5" t="s">
        <v>74</v>
      </c>
      <c r="I43" s="5" t="s">
        <v>17</v>
      </c>
      <c r="J43" s="5" t="s">
        <v>250</v>
      </c>
      <c r="K43" s="7" t="s">
        <v>255</v>
      </c>
      <c r="L43" s="8" t="s">
        <v>256</v>
      </c>
      <c r="M43" s="10" t="s">
        <v>17</v>
      </c>
      <c r="N43" s="5" t="str">
        <f aca="false">M43</f>
        <v>-</v>
      </c>
      <c r="O43" s="16" t="s">
        <v>25</v>
      </c>
      <c r="P43" s="16" t="s">
        <v>26</v>
      </c>
    </row>
    <row r="44" customFormat="false" ht="114.75" hidden="false" customHeight="true" outlineLevel="0" collapsed="false">
      <c r="A44" s="5" t="s">
        <v>257</v>
      </c>
      <c r="B44" s="5" t="n">
        <v>36</v>
      </c>
      <c r="C44" s="5" t="s">
        <v>17</v>
      </c>
      <c r="D44" s="5" t="s">
        <v>17</v>
      </c>
      <c r="E44" s="5" t="n">
        <v>2012</v>
      </c>
      <c r="F44" s="5" t="s">
        <v>258</v>
      </c>
      <c r="G44" s="5" t="s">
        <v>238</v>
      </c>
      <c r="H44" s="5" t="s">
        <v>74</v>
      </c>
      <c r="I44" s="5" t="s">
        <v>17</v>
      </c>
      <c r="J44" s="5" t="s">
        <v>259</v>
      </c>
      <c r="K44" s="7" t="s">
        <v>260</v>
      </c>
      <c r="L44" s="8" t="s">
        <v>261</v>
      </c>
      <c r="M44" s="10" t="s">
        <v>17</v>
      </c>
      <c r="N44" s="5" t="str">
        <f aca="false">M44</f>
        <v>-</v>
      </c>
      <c r="O44" s="10" t="s">
        <v>259</v>
      </c>
      <c r="P44" s="10" t="s">
        <v>74</v>
      </c>
    </row>
    <row r="45" customFormat="false" ht="114.75" hidden="false" customHeight="true" outlineLevel="0" collapsed="false">
      <c r="A45" s="5" t="s">
        <v>262</v>
      </c>
      <c r="B45" s="5" t="n">
        <v>37</v>
      </c>
      <c r="C45" s="5" t="s">
        <v>17</v>
      </c>
      <c r="D45" s="5" t="s">
        <v>17</v>
      </c>
      <c r="E45" s="5" t="n">
        <v>2011</v>
      </c>
      <c r="F45" s="5" t="s">
        <v>263</v>
      </c>
      <c r="G45" s="5" t="s">
        <v>238</v>
      </c>
      <c r="H45" s="5" t="s">
        <v>74</v>
      </c>
      <c r="I45" s="5" t="s">
        <v>17</v>
      </c>
      <c r="J45" s="5" t="s">
        <v>264</v>
      </c>
      <c r="K45" s="7" t="s">
        <v>265</v>
      </c>
      <c r="L45" s="8" t="s">
        <v>266</v>
      </c>
      <c r="M45" s="10" t="s">
        <v>17</v>
      </c>
      <c r="N45" s="5" t="str">
        <f aca="false">M45</f>
        <v>-</v>
      </c>
      <c r="O45" s="10" t="s">
        <v>259</v>
      </c>
      <c r="P45" s="10" t="s">
        <v>74</v>
      </c>
    </row>
    <row r="46" customFormat="false" ht="114.75" hidden="false" customHeight="true" outlineLevel="0" collapsed="false">
      <c r="A46" s="5" t="s">
        <v>267</v>
      </c>
      <c r="B46" s="5" t="n">
        <v>38</v>
      </c>
      <c r="C46" s="5"/>
      <c r="D46" s="5" t="s">
        <v>17</v>
      </c>
      <c r="E46" s="5" t="n">
        <v>2024</v>
      </c>
      <c r="F46" s="5" t="s">
        <v>268</v>
      </c>
      <c r="G46" s="5" t="s">
        <v>238</v>
      </c>
      <c r="H46" s="5" t="s">
        <v>59</v>
      </c>
      <c r="I46" s="5" t="s">
        <v>269</v>
      </c>
      <c r="J46" s="5" t="s">
        <v>80</v>
      </c>
      <c r="K46" s="7" t="s">
        <v>270</v>
      </c>
      <c r="L46" s="8" t="s">
        <v>271</v>
      </c>
      <c r="M46" s="10" t="n">
        <v>1500</v>
      </c>
      <c r="N46" s="5" t="n">
        <f aca="false">M46*0.78</f>
        <v>1170</v>
      </c>
      <c r="O46" s="10" t="s">
        <v>25</v>
      </c>
      <c r="P46" s="10" t="s">
        <v>59</v>
      </c>
    </row>
    <row r="47" customFormat="false" ht="114.75" hidden="false" customHeight="true" outlineLevel="0" collapsed="false">
      <c r="A47" s="5" t="s">
        <v>272</v>
      </c>
      <c r="B47" s="5" t="n">
        <v>39</v>
      </c>
      <c r="C47" s="5"/>
      <c r="D47" s="5" t="s">
        <v>17</v>
      </c>
      <c r="E47" s="5" t="n">
        <v>2023</v>
      </c>
      <c r="F47" s="5" t="s">
        <v>273</v>
      </c>
      <c r="G47" s="5" t="s">
        <v>238</v>
      </c>
      <c r="H47" s="5" t="s">
        <v>59</v>
      </c>
      <c r="I47" s="5" t="s">
        <v>17</v>
      </c>
      <c r="J47" s="5" t="s">
        <v>119</v>
      </c>
      <c r="K47" s="7" t="s">
        <v>274</v>
      </c>
      <c r="L47" s="8" t="s">
        <v>275</v>
      </c>
      <c r="M47" s="10" t="s">
        <v>17</v>
      </c>
      <c r="N47" s="10" t="s">
        <v>17</v>
      </c>
      <c r="O47" s="10" t="s">
        <v>119</v>
      </c>
      <c r="P47" s="10" t="s">
        <v>59</v>
      </c>
    </row>
    <row r="48" customFormat="false" ht="114.75" hidden="false" customHeight="true" outlineLevel="0" collapsed="false">
      <c r="A48" s="5" t="s">
        <v>276</v>
      </c>
      <c r="B48" s="5" t="n">
        <v>40</v>
      </c>
      <c r="C48" s="5" t="s">
        <v>17</v>
      </c>
      <c r="D48" s="5" t="s">
        <v>17</v>
      </c>
      <c r="E48" s="5" t="n">
        <v>2024</v>
      </c>
      <c r="F48" s="5" t="s">
        <v>277</v>
      </c>
      <c r="G48" s="5" t="s">
        <v>278</v>
      </c>
      <c r="H48" s="5" t="s">
        <v>20</v>
      </c>
      <c r="I48" s="5" t="s">
        <v>279</v>
      </c>
      <c r="J48" s="5" t="s">
        <v>280</v>
      </c>
      <c r="K48" s="7" t="s">
        <v>281</v>
      </c>
      <c r="L48" s="8" t="s">
        <v>282</v>
      </c>
      <c r="M48" s="5" t="n">
        <v>5200</v>
      </c>
      <c r="N48" s="5" t="n">
        <f aca="false">M48</f>
        <v>5200</v>
      </c>
      <c r="O48" s="10" t="s">
        <v>107</v>
      </c>
      <c r="P48" s="10" t="s">
        <v>26</v>
      </c>
    </row>
    <row r="49" customFormat="false" ht="114.75" hidden="false" customHeight="true" outlineLevel="0" collapsed="false">
      <c r="A49" s="5" t="s">
        <v>276</v>
      </c>
      <c r="B49" s="5" t="n">
        <v>40</v>
      </c>
      <c r="C49" s="5" t="s">
        <v>283</v>
      </c>
      <c r="D49" s="5" t="s">
        <v>28</v>
      </c>
      <c r="E49" s="5" t="n">
        <v>2024</v>
      </c>
      <c r="F49" s="5" t="s">
        <v>284</v>
      </c>
      <c r="G49" s="5" t="s">
        <v>278</v>
      </c>
      <c r="H49" s="5" t="s">
        <v>66</v>
      </c>
      <c r="I49" s="5" t="s">
        <v>285</v>
      </c>
      <c r="J49" s="5" t="s">
        <v>286</v>
      </c>
      <c r="K49" s="7" t="s">
        <v>287</v>
      </c>
      <c r="L49" s="8" t="s">
        <v>282</v>
      </c>
      <c r="M49" s="5" t="n">
        <v>166</v>
      </c>
      <c r="N49" s="5" t="n">
        <f aca="false">M49</f>
        <v>166</v>
      </c>
      <c r="O49" s="10" t="s">
        <v>286</v>
      </c>
      <c r="P49" s="10" t="s">
        <v>66</v>
      </c>
    </row>
    <row r="50" customFormat="false" ht="114.75" hidden="false" customHeight="true" outlineLevel="0" collapsed="false">
      <c r="A50" s="5" t="s">
        <v>276</v>
      </c>
      <c r="B50" s="5" t="n">
        <v>40</v>
      </c>
      <c r="C50" s="5" t="s">
        <v>288</v>
      </c>
      <c r="D50" s="5" t="s">
        <v>90</v>
      </c>
      <c r="E50" s="5" t="n">
        <v>2024</v>
      </c>
      <c r="F50" s="5" t="s">
        <v>289</v>
      </c>
      <c r="G50" s="5" t="s">
        <v>278</v>
      </c>
      <c r="H50" s="5" t="s">
        <v>66</v>
      </c>
      <c r="I50" s="5" t="s">
        <v>290</v>
      </c>
      <c r="J50" s="5" t="s">
        <v>44</v>
      </c>
      <c r="K50" s="7" t="s">
        <v>291</v>
      </c>
      <c r="L50" s="8" t="s">
        <v>282</v>
      </c>
      <c r="M50" s="10" t="n">
        <v>1000</v>
      </c>
      <c r="N50" s="5" t="n">
        <f aca="false">M50*0.78</f>
        <v>780</v>
      </c>
      <c r="O50" s="10" t="s">
        <v>44</v>
      </c>
      <c r="P50" s="10" t="s">
        <v>66</v>
      </c>
    </row>
    <row r="51" customFormat="false" ht="114.75" hidden="false" customHeight="true" outlineLevel="0" collapsed="false">
      <c r="A51" s="5" t="s">
        <v>276</v>
      </c>
      <c r="B51" s="5" t="n">
        <v>40</v>
      </c>
      <c r="C51" s="5" t="s">
        <v>292</v>
      </c>
      <c r="D51" s="5" t="s">
        <v>96</v>
      </c>
      <c r="E51" s="5" t="n">
        <v>2024</v>
      </c>
      <c r="F51" s="5" t="s">
        <v>289</v>
      </c>
      <c r="G51" s="5" t="s">
        <v>278</v>
      </c>
      <c r="H51" s="5" t="s">
        <v>66</v>
      </c>
      <c r="I51" s="5" t="s">
        <v>293</v>
      </c>
      <c r="J51" s="5" t="s">
        <v>294</v>
      </c>
      <c r="K51" s="7" t="s">
        <v>295</v>
      </c>
      <c r="L51" s="8" t="s">
        <v>282</v>
      </c>
      <c r="M51" s="10" t="n">
        <v>2000</v>
      </c>
      <c r="N51" s="5" t="n">
        <f aca="false">M51*0.78</f>
        <v>1560</v>
      </c>
      <c r="O51" s="10" t="s">
        <v>25</v>
      </c>
      <c r="P51" s="10" t="s">
        <v>66</v>
      </c>
    </row>
    <row r="52" customFormat="false" ht="114.75" hidden="false" customHeight="true" outlineLevel="0" collapsed="false">
      <c r="A52" s="5" t="s">
        <v>276</v>
      </c>
      <c r="B52" s="5" t="n">
        <v>40</v>
      </c>
      <c r="C52" s="5" t="s">
        <v>296</v>
      </c>
      <c r="D52" s="5" t="s">
        <v>297</v>
      </c>
      <c r="E52" s="5" t="n">
        <v>2024</v>
      </c>
      <c r="F52" s="5" t="s">
        <v>298</v>
      </c>
      <c r="G52" s="5" t="s">
        <v>278</v>
      </c>
      <c r="H52" s="5" t="s">
        <v>66</v>
      </c>
      <c r="I52" s="5" t="s">
        <v>299</v>
      </c>
      <c r="J52" s="5" t="s">
        <v>119</v>
      </c>
      <c r="K52" s="7" t="s">
        <v>300</v>
      </c>
      <c r="L52" s="8" t="s">
        <v>301</v>
      </c>
      <c r="M52" s="10" t="n">
        <v>300</v>
      </c>
      <c r="N52" s="5" t="n">
        <f aca="false">M52*0.78</f>
        <v>234</v>
      </c>
      <c r="O52" s="10" t="s">
        <v>119</v>
      </c>
      <c r="P52" s="10" t="s">
        <v>66</v>
      </c>
    </row>
    <row r="53" customFormat="false" ht="114.75" hidden="false" customHeight="true" outlineLevel="0" collapsed="false">
      <c r="A53" s="5" t="s">
        <v>276</v>
      </c>
      <c r="B53" s="5" t="n">
        <v>40</v>
      </c>
      <c r="C53" s="5" t="s">
        <v>302</v>
      </c>
      <c r="D53" s="5" t="s">
        <v>303</v>
      </c>
      <c r="E53" s="5" t="n">
        <v>2024</v>
      </c>
      <c r="F53" s="5" t="s">
        <v>298</v>
      </c>
      <c r="G53" s="5" t="s">
        <v>278</v>
      </c>
      <c r="H53" s="5" t="s">
        <v>66</v>
      </c>
      <c r="I53" s="5" t="s">
        <v>304</v>
      </c>
      <c r="J53" s="5" t="s">
        <v>119</v>
      </c>
      <c r="K53" s="7" t="s">
        <v>305</v>
      </c>
      <c r="L53" s="8" t="s">
        <v>301</v>
      </c>
      <c r="M53" s="10" t="n">
        <v>2700</v>
      </c>
      <c r="N53" s="5" t="n">
        <f aca="false">M53*0.78</f>
        <v>2106</v>
      </c>
      <c r="O53" s="10" t="s">
        <v>119</v>
      </c>
      <c r="P53" s="10" t="s">
        <v>66</v>
      </c>
    </row>
    <row r="54" customFormat="false" ht="114.75" hidden="false" customHeight="true" outlineLevel="0" collapsed="false">
      <c r="A54" s="5" t="s">
        <v>276</v>
      </c>
      <c r="B54" s="5" t="n">
        <v>40</v>
      </c>
      <c r="C54" s="5" t="s">
        <v>306</v>
      </c>
      <c r="D54" s="5" t="s">
        <v>307</v>
      </c>
      <c r="E54" s="5" t="n">
        <v>2023</v>
      </c>
      <c r="F54" s="5" t="s">
        <v>308</v>
      </c>
      <c r="G54" s="5" t="s">
        <v>278</v>
      </c>
      <c r="H54" s="5" t="s">
        <v>66</v>
      </c>
      <c r="I54" s="5" t="s">
        <v>309</v>
      </c>
      <c r="J54" s="5" t="s">
        <v>310</v>
      </c>
      <c r="K54" s="7" t="s">
        <v>311</v>
      </c>
      <c r="L54" s="8" t="s">
        <v>301</v>
      </c>
      <c r="M54" s="10" t="n">
        <v>10000</v>
      </c>
      <c r="N54" s="5" t="n">
        <f aca="false">M54*0.78</f>
        <v>7800</v>
      </c>
      <c r="O54" s="10" t="s">
        <v>44</v>
      </c>
      <c r="P54" s="10" t="s">
        <v>66</v>
      </c>
    </row>
    <row r="55" customFormat="false" ht="114.75" hidden="false" customHeight="true" outlineLevel="0" collapsed="false">
      <c r="A55" s="5" t="s">
        <v>276</v>
      </c>
      <c r="B55" s="5" t="n">
        <v>40</v>
      </c>
      <c r="C55" s="5" t="s">
        <v>312</v>
      </c>
      <c r="D55" s="5" t="s">
        <v>313</v>
      </c>
      <c r="E55" s="5" t="n">
        <v>2024</v>
      </c>
      <c r="F55" s="5" t="s">
        <v>314</v>
      </c>
      <c r="G55" s="5" t="s">
        <v>278</v>
      </c>
      <c r="H55" s="5" t="s">
        <v>66</v>
      </c>
      <c r="I55" s="5" t="s">
        <v>315</v>
      </c>
      <c r="J55" s="5" t="s">
        <v>316</v>
      </c>
      <c r="K55" s="7" t="s">
        <v>317</v>
      </c>
      <c r="L55" s="8" t="s">
        <v>301</v>
      </c>
      <c r="M55" s="10" t="n">
        <v>1250</v>
      </c>
      <c r="N55" s="5" t="n">
        <f aca="false">M55*0.78</f>
        <v>975</v>
      </c>
      <c r="O55" s="10" t="s">
        <v>316</v>
      </c>
      <c r="P55" s="10" t="s">
        <v>66</v>
      </c>
    </row>
    <row r="56" customFormat="false" ht="114.75" hidden="false" customHeight="true" outlineLevel="0" collapsed="false">
      <c r="A56" s="5" t="s">
        <v>276</v>
      </c>
      <c r="B56" s="5" t="n">
        <v>40</v>
      </c>
      <c r="C56" s="5" t="s">
        <v>318</v>
      </c>
      <c r="D56" s="5" t="s">
        <v>319</v>
      </c>
      <c r="E56" s="5" t="n">
        <v>2024</v>
      </c>
      <c r="F56" s="5" t="s">
        <v>320</v>
      </c>
      <c r="G56" s="5" t="s">
        <v>278</v>
      </c>
      <c r="H56" s="5" t="s">
        <v>66</v>
      </c>
      <c r="I56" s="5" t="s">
        <v>290</v>
      </c>
      <c r="J56" s="5" t="s">
        <v>321</v>
      </c>
      <c r="K56" s="7" t="s">
        <v>322</v>
      </c>
      <c r="L56" s="8" t="s">
        <v>301</v>
      </c>
      <c r="M56" s="10" t="n">
        <v>1000</v>
      </c>
      <c r="N56" s="5" t="n">
        <f aca="false">M56*0.78</f>
        <v>780</v>
      </c>
      <c r="O56" s="10" t="s">
        <v>25</v>
      </c>
      <c r="P56" s="10" t="s">
        <v>66</v>
      </c>
    </row>
    <row r="57" customFormat="false" ht="114.75" hidden="false" customHeight="true" outlineLevel="0" collapsed="false">
      <c r="A57" s="5" t="s">
        <v>276</v>
      </c>
      <c r="B57" s="5" t="n">
        <v>40</v>
      </c>
      <c r="C57" s="5" t="s">
        <v>323</v>
      </c>
      <c r="D57" s="5" t="s">
        <v>324</v>
      </c>
      <c r="E57" s="5" t="n">
        <v>2024</v>
      </c>
      <c r="F57" s="5" t="s">
        <v>314</v>
      </c>
      <c r="G57" s="5" t="s">
        <v>278</v>
      </c>
      <c r="H57" s="5" t="s">
        <v>66</v>
      </c>
      <c r="I57" s="5" t="s">
        <v>290</v>
      </c>
      <c r="J57" s="5" t="s">
        <v>325</v>
      </c>
      <c r="K57" s="7" t="s">
        <v>326</v>
      </c>
      <c r="L57" s="8" t="s">
        <v>301</v>
      </c>
      <c r="M57" s="10" t="n">
        <v>1000</v>
      </c>
      <c r="N57" s="5" t="n">
        <f aca="false">M57*0.78</f>
        <v>780</v>
      </c>
      <c r="O57" s="10" t="s">
        <v>44</v>
      </c>
      <c r="P57" s="10" t="s">
        <v>66</v>
      </c>
    </row>
    <row r="58" customFormat="false" ht="114.75" hidden="false" customHeight="true" outlineLevel="0" collapsed="false">
      <c r="A58" s="5" t="s">
        <v>327</v>
      </c>
      <c r="B58" s="5" t="n">
        <v>41</v>
      </c>
      <c r="C58" s="5" t="s">
        <v>17</v>
      </c>
      <c r="D58" s="5" t="s">
        <v>17</v>
      </c>
      <c r="E58" s="5" t="n">
        <v>2025</v>
      </c>
      <c r="F58" s="5" t="s">
        <v>284</v>
      </c>
      <c r="G58" s="5" t="s">
        <v>278</v>
      </c>
      <c r="H58" s="5" t="s">
        <v>74</v>
      </c>
      <c r="I58" s="5" t="s">
        <v>17</v>
      </c>
      <c r="J58" s="5" t="s">
        <v>44</v>
      </c>
      <c r="K58" s="7" t="s">
        <v>328</v>
      </c>
      <c r="L58" s="8" t="s">
        <v>329</v>
      </c>
      <c r="M58" s="10" t="s">
        <v>17</v>
      </c>
      <c r="N58" s="10" t="s">
        <v>17</v>
      </c>
      <c r="O58" s="10" t="s">
        <v>44</v>
      </c>
      <c r="P58" s="10" t="s">
        <v>74</v>
      </c>
    </row>
    <row r="59" customFormat="false" ht="114.75" hidden="false" customHeight="true" outlineLevel="0" collapsed="false">
      <c r="A59" s="5" t="s">
        <v>330</v>
      </c>
      <c r="B59" s="5" t="n">
        <v>42</v>
      </c>
      <c r="C59" s="5" t="s">
        <v>17</v>
      </c>
      <c r="D59" s="5" t="s">
        <v>17</v>
      </c>
      <c r="E59" s="5" t="n">
        <v>2024</v>
      </c>
      <c r="F59" s="5" t="s">
        <v>132</v>
      </c>
      <c r="G59" s="5" t="s">
        <v>278</v>
      </c>
      <c r="H59" s="5" t="s">
        <v>331</v>
      </c>
      <c r="I59" s="5" t="s">
        <v>17</v>
      </c>
      <c r="J59" s="5" t="s">
        <v>25</v>
      </c>
      <c r="K59" s="7" t="s">
        <v>332</v>
      </c>
      <c r="L59" s="8" t="s">
        <v>333</v>
      </c>
      <c r="M59" s="10" t="s">
        <v>17</v>
      </c>
      <c r="N59" s="10" t="s">
        <v>17</v>
      </c>
      <c r="O59" s="10" t="s">
        <v>25</v>
      </c>
      <c r="P59" s="10" t="s">
        <v>74</v>
      </c>
    </row>
    <row r="60" customFormat="false" ht="114.75" hidden="false" customHeight="true" outlineLevel="0" collapsed="false">
      <c r="A60" s="5" t="s">
        <v>330</v>
      </c>
      <c r="B60" s="5" t="n">
        <v>42</v>
      </c>
      <c r="C60" s="5" t="s">
        <v>334</v>
      </c>
      <c r="D60" s="5" t="s">
        <v>28</v>
      </c>
      <c r="E60" s="5" t="n">
        <v>2024</v>
      </c>
      <c r="F60" s="5" t="s">
        <v>132</v>
      </c>
      <c r="G60" s="5" t="s">
        <v>278</v>
      </c>
      <c r="H60" s="5" t="s">
        <v>335</v>
      </c>
      <c r="I60" s="5" t="s">
        <v>336</v>
      </c>
      <c r="J60" s="5" t="s">
        <v>337</v>
      </c>
      <c r="K60" s="7" t="s">
        <v>338</v>
      </c>
      <c r="L60" s="8" t="s">
        <v>339</v>
      </c>
      <c r="M60" s="10" t="n">
        <v>600</v>
      </c>
      <c r="N60" s="5" t="n">
        <f aca="false">M60*0.78</f>
        <v>468</v>
      </c>
      <c r="O60" s="10" t="s">
        <v>25</v>
      </c>
      <c r="P60" s="10" t="s">
        <v>82</v>
      </c>
    </row>
    <row r="61" customFormat="false" ht="114.75" hidden="false" customHeight="true" outlineLevel="0" collapsed="false">
      <c r="A61" s="5" t="s">
        <v>340</v>
      </c>
      <c r="B61" s="5" t="n">
        <v>43</v>
      </c>
      <c r="C61" s="5" t="s">
        <v>17</v>
      </c>
      <c r="D61" s="5" t="s">
        <v>17</v>
      </c>
      <c r="E61" s="5" t="n">
        <v>1986</v>
      </c>
      <c r="F61" s="5" t="s">
        <v>341</v>
      </c>
      <c r="G61" s="5" t="s">
        <v>278</v>
      </c>
      <c r="H61" s="5" t="s">
        <v>59</v>
      </c>
      <c r="I61" s="5" t="s">
        <v>17</v>
      </c>
      <c r="J61" s="5" t="s">
        <v>342</v>
      </c>
      <c r="K61" s="7" t="s">
        <v>343</v>
      </c>
      <c r="L61" s="8" t="s">
        <v>344</v>
      </c>
      <c r="M61" s="10" t="s">
        <v>17</v>
      </c>
      <c r="N61" s="5"/>
      <c r="O61" s="10" t="s">
        <v>44</v>
      </c>
      <c r="P61" s="10" t="s">
        <v>59</v>
      </c>
    </row>
    <row r="62" customFormat="false" ht="114.75" hidden="false" customHeight="true" outlineLevel="0" collapsed="false">
      <c r="A62" s="5" t="s">
        <v>345</v>
      </c>
      <c r="B62" s="5" t="n">
        <v>44</v>
      </c>
      <c r="C62" s="5" t="s">
        <v>346</v>
      </c>
      <c r="D62" s="5" t="s">
        <v>28</v>
      </c>
      <c r="E62" s="5" t="n">
        <v>2021</v>
      </c>
      <c r="F62" s="5" t="s">
        <v>347</v>
      </c>
      <c r="G62" s="5" t="s">
        <v>348</v>
      </c>
      <c r="H62" s="5" t="s">
        <v>59</v>
      </c>
      <c r="I62" s="5" t="s">
        <v>17</v>
      </c>
      <c r="J62" s="5" t="s">
        <v>349</v>
      </c>
      <c r="K62" s="7" t="s">
        <v>350</v>
      </c>
      <c r="L62" s="8" t="s">
        <v>351</v>
      </c>
      <c r="M62" s="10" t="s">
        <v>17</v>
      </c>
      <c r="N62" s="10" t="s">
        <v>17</v>
      </c>
      <c r="O62" s="10" t="s">
        <v>25</v>
      </c>
      <c r="P62" s="10" t="s">
        <v>59</v>
      </c>
    </row>
    <row r="63" customFormat="false" ht="114.75" hidden="false" customHeight="true" outlineLevel="0" collapsed="false">
      <c r="A63" s="5" t="s">
        <v>352</v>
      </c>
      <c r="B63" s="5" t="n">
        <v>45</v>
      </c>
      <c r="C63" s="5" t="s">
        <v>17</v>
      </c>
      <c r="D63" s="5" t="s">
        <v>17</v>
      </c>
      <c r="E63" s="5" t="n">
        <v>2015</v>
      </c>
      <c r="F63" s="5" t="s">
        <v>353</v>
      </c>
      <c r="G63" s="5" t="s">
        <v>348</v>
      </c>
      <c r="H63" s="5" t="s">
        <v>59</v>
      </c>
      <c r="I63" s="5" t="s">
        <v>354</v>
      </c>
      <c r="J63" s="5" t="s">
        <v>355</v>
      </c>
      <c r="K63" s="7" t="s">
        <v>356</v>
      </c>
      <c r="L63" s="8" t="s">
        <v>357</v>
      </c>
      <c r="M63" s="5" t="n">
        <v>340000</v>
      </c>
      <c r="N63" s="5" t="n">
        <f aca="false">M63*0.03</f>
        <v>10200</v>
      </c>
      <c r="O63" s="10" t="s">
        <v>107</v>
      </c>
      <c r="P63" s="10" t="s">
        <v>59</v>
      </c>
    </row>
    <row r="64" customFormat="false" ht="114.75" hidden="false" customHeight="true" outlineLevel="0" collapsed="false">
      <c r="A64" s="5" t="s">
        <v>352</v>
      </c>
      <c r="B64" s="5" t="n">
        <v>45</v>
      </c>
      <c r="C64" s="5" t="s">
        <v>358</v>
      </c>
      <c r="D64" s="5" t="s">
        <v>28</v>
      </c>
      <c r="E64" s="5" t="n">
        <v>2018</v>
      </c>
      <c r="F64" s="5" t="s">
        <v>33</v>
      </c>
      <c r="G64" s="5" t="s">
        <v>348</v>
      </c>
      <c r="H64" s="5" t="s">
        <v>59</v>
      </c>
      <c r="I64" s="5" t="s">
        <v>354</v>
      </c>
      <c r="J64" s="5" t="s">
        <v>355</v>
      </c>
      <c r="K64" s="7" t="s">
        <v>359</v>
      </c>
      <c r="L64" s="14" t="s">
        <v>360</v>
      </c>
      <c r="M64" s="5" t="s">
        <v>17</v>
      </c>
      <c r="N64" s="5" t="s">
        <v>17</v>
      </c>
      <c r="O64" s="10" t="s">
        <v>107</v>
      </c>
      <c r="P64" s="10" t="s">
        <v>59</v>
      </c>
    </row>
    <row r="65" customFormat="false" ht="114.75" hidden="false" customHeight="true" outlineLevel="0" collapsed="false">
      <c r="A65" s="5" t="s">
        <v>345</v>
      </c>
      <c r="B65" s="5" t="n">
        <v>44</v>
      </c>
      <c r="C65" s="5" t="s">
        <v>361</v>
      </c>
      <c r="D65" s="5" t="s">
        <v>90</v>
      </c>
      <c r="E65" s="5" t="n">
        <v>2021</v>
      </c>
      <c r="F65" s="5" t="s">
        <v>254</v>
      </c>
      <c r="G65" s="5" t="s">
        <v>348</v>
      </c>
      <c r="H65" s="5" t="s">
        <v>59</v>
      </c>
      <c r="I65" s="5" t="s">
        <v>17</v>
      </c>
      <c r="J65" s="5" t="s">
        <v>355</v>
      </c>
      <c r="K65" s="7" t="s">
        <v>362</v>
      </c>
      <c r="L65" s="8" t="s">
        <v>363</v>
      </c>
      <c r="M65" s="10" t="s">
        <v>17</v>
      </c>
      <c r="N65" s="5" t="str">
        <f aca="false">M65</f>
        <v>-</v>
      </c>
      <c r="O65" s="10" t="s">
        <v>107</v>
      </c>
      <c r="P65" s="10" t="s">
        <v>59</v>
      </c>
    </row>
    <row r="66" customFormat="false" ht="114.75" hidden="false" customHeight="true" outlineLevel="0" collapsed="false">
      <c r="A66" s="5" t="s">
        <v>345</v>
      </c>
      <c r="B66" s="5" t="n">
        <v>44</v>
      </c>
      <c r="C66" s="5" t="s">
        <v>364</v>
      </c>
      <c r="D66" s="5" t="s">
        <v>96</v>
      </c>
      <c r="E66" s="5" t="n">
        <v>2023</v>
      </c>
      <c r="F66" s="5" t="s">
        <v>18</v>
      </c>
      <c r="G66" s="5" t="s">
        <v>348</v>
      </c>
      <c r="H66" s="5" t="s">
        <v>59</v>
      </c>
      <c r="I66" s="5" t="s">
        <v>17</v>
      </c>
      <c r="J66" s="5" t="s">
        <v>25</v>
      </c>
      <c r="K66" s="7" t="s">
        <v>365</v>
      </c>
      <c r="L66" s="14" t="s">
        <v>366</v>
      </c>
      <c r="M66" s="10" t="s">
        <v>17</v>
      </c>
      <c r="N66" s="5" t="str">
        <f aca="false">M66</f>
        <v>-</v>
      </c>
      <c r="O66" s="10" t="s">
        <v>25</v>
      </c>
      <c r="P66" s="10" t="s">
        <v>59</v>
      </c>
    </row>
    <row r="67" customFormat="false" ht="114.75" hidden="false" customHeight="true" outlineLevel="0" collapsed="false">
      <c r="A67" s="5" t="s">
        <v>367</v>
      </c>
      <c r="B67" s="5" t="n">
        <v>47</v>
      </c>
      <c r="C67" s="5" t="s">
        <v>368</v>
      </c>
      <c r="D67" s="5" t="s">
        <v>28</v>
      </c>
      <c r="E67" s="5" t="n">
        <v>2024</v>
      </c>
      <c r="F67" s="5" t="s">
        <v>97</v>
      </c>
      <c r="G67" s="5" t="s">
        <v>348</v>
      </c>
      <c r="H67" s="5" t="s">
        <v>369</v>
      </c>
      <c r="I67" s="5" t="s">
        <v>17</v>
      </c>
      <c r="J67" s="5" t="s">
        <v>316</v>
      </c>
      <c r="K67" s="7" t="s">
        <v>370</v>
      </c>
      <c r="L67" s="8" t="s">
        <v>371</v>
      </c>
      <c r="M67" s="10" t="s">
        <v>17</v>
      </c>
      <c r="N67" s="5" t="str">
        <f aca="false">M67</f>
        <v>-</v>
      </c>
      <c r="O67" s="10" t="s">
        <v>316</v>
      </c>
      <c r="P67" s="10" t="s">
        <v>59</v>
      </c>
    </row>
    <row r="68" customFormat="false" ht="114.75" hidden="false" customHeight="true" outlineLevel="0" collapsed="false">
      <c r="A68" s="5" t="s">
        <v>367</v>
      </c>
      <c r="B68" s="5" t="n">
        <v>47</v>
      </c>
      <c r="C68" s="5" t="s">
        <v>17</v>
      </c>
      <c r="D68" s="5" t="s">
        <v>17</v>
      </c>
      <c r="E68" s="5" t="n">
        <v>2019</v>
      </c>
      <c r="F68" s="5" t="s">
        <v>372</v>
      </c>
      <c r="G68" s="5" t="s">
        <v>348</v>
      </c>
      <c r="H68" s="5" t="s">
        <v>59</v>
      </c>
      <c r="I68" s="5" t="s">
        <v>17</v>
      </c>
      <c r="J68" s="5" t="s">
        <v>44</v>
      </c>
      <c r="K68" s="7" t="s">
        <v>373</v>
      </c>
      <c r="L68" s="8" t="s">
        <v>374</v>
      </c>
      <c r="M68" s="10" t="s">
        <v>17</v>
      </c>
      <c r="N68" s="5" t="str">
        <f aca="false">M68</f>
        <v>-</v>
      </c>
      <c r="O68" s="10" t="s">
        <v>44</v>
      </c>
      <c r="P68" s="10" t="s">
        <v>59</v>
      </c>
    </row>
    <row r="69" customFormat="false" ht="114.75" hidden="false" customHeight="true" outlineLevel="0" collapsed="false">
      <c r="A69" s="5" t="s">
        <v>352</v>
      </c>
      <c r="B69" s="5" t="n">
        <v>45</v>
      </c>
      <c r="C69" s="5" t="s">
        <v>375</v>
      </c>
      <c r="D69" s="5" t="s">
        <v>28</v>
      </c>
      <c r="E69" s="5" t="n">
        <v>2024</v>
      </c>
      <c r="F69" s="5" t="s">
        <v>376</v>
      </c>
      <c r="G69" s="5" t="s">
        <v>348</v>
      </c>
      <c r="H69" s="5" t="s">
        <v>74</v>
      </c>
      <c r="I69" s="5" t="s">
        <v>17</v>
      </c>
      <c r="J69" s="5" t="s">
        <v>377</v>
      </c>
      <c r="K69" s="7" t="s">
        <v>378</v>
      </c>
      <c r="L69" s="8" t="s">
        <v>379</v>
      </c>
      <c r="M69" s="10" t="s">
        <v>17</v>
      </c>
      <c r="N69" s="5" t="str">
        <f aca="false">M69</f>
        <v>-</v>
      </c>
      <c r="O69" s="10" t="s">
        <v>44</v>
      </c>
      <c r="P69" s="10" t="s">
        <v>74</v>
      </c>
    </row>
    <row r="70" customFormat="false" ht="114.75" hidden="false" customHeight="true" outlineLevel="0" collapsed="false">
      <c r="A70" s="5" t="s">
        <v>352</v>
      </c>
      <c r="B70" s="5" t="n">
        <v>45</v>
      </c>
      <c r="C70" s="5" t="s">
        <v>229</v>
      </c>
      <c r="D70" s="5" t="s">
        <v>90</v>
      </c>
      <c r="E70" s="5" t="n">
        <v>2025</v>
      </c>
      <c r="F70" s="5" t="s">
        <v>314</v>
      </c>
      <c r="G70" s="5" t="s">
        <v>348</v>
      </c>
      <c r="H70" s="5" t="s">
        <v>74</v>
      </c>
      <c r="I70" s="5" t="s">
        <v>17</v>
      </c>
      <c r="J70" s="5" t="s">
        <v>377</v>
      </c>
      <c r="K70" s="7" t="s">
        <v>380</v>
      </c>
      <c r="L70" s="8" t="s">
        <v>379</v>
      </c>
      <c r="M70" s="10" t="s">
        <v>17</v>
      </c>
      <c r="N70" s="5" t="str">
        <f aca="false">M70</f>
        <v>-</v>
      </c>
      <c r="O70" s="10" t="s">
        <v>44</v>
      </c>
      <c r="P70" s="10" t="s">
        <v>74</v>
      </c>
    </row>
    <row r="71" customFormat="false" ht="114.75" hidden="false" customHeight="true" outlineLevel="0" collapsed="false">
      <c r="A71" s="5" t="s">
        <v>381</v>
      </c>
      <c r="B71" s="5" t="n">
        <v>48</v>
      </c>
      <c r="C71" s="5" t="s">
        <v>17</v>
      </c>
      <c r="D71" s="5" t="s">
        <v>17</v>
      </c>
      <c r="E71" s="5" t="n">
        <v>2025</v>
      </c>
      <c r="F71" s="5" t="s">
        <v>268</v>
      </c>
      <c r="G71" s="5" t="s">
        <v>348</v>
      </c>
      <c r="H71" s="5" t="s">
        <v>59</v>
      </c>
      <c r="I71" s="5" t="s">
        <v>17</v>
      </c>
      <c r="J71" s="5" t="s">
        <v>355</v>
      </c>
      <c r="K71" s="7" t="s">
        <v>382</v>
      </c>
      <c r="L71" s="8" t="s">
        <v>383</v>
      </c>
      <c r="M71" s="10" t="s">
        <v>17</v>
      </c>
      <c r="N71" s="5" t="str">
        <f aca="false">M71</f>
        <v>-</v>
      </c>
      <c r="O71" s="10" t="s">
        <v>44</v>
      </c>
      <c r="P71" s="10" t="s">
        <v>59</v>
      </c>
    </row>
    <row r="72" customFormat="false" ht="114.75" hidden="false" customHeight="true" outlineLevel="0" collapsed="false">
      <c r="A72" s="5" t="s">
        <v>16</v>
      </c>
      <c r="B72" s="5" t="n">
        <v>1</v>
      </c>
      <c r="C72" s="5" t="s">
        <v>384</v>
      </c>
      <c r="D72" s="5" t="s">
        <v>90</v>
      </c>
      <c r="E72" s="5" t="n">
        <v>2022</v>
      </c>
      <c r="F72" s="5" t="s">
        <v>18</v>
      </c>
      <c r="G72" s="5" t="s">
        <v>19</v>
      </c>
      <c r="H72" s="5" t="s">
        <v>186</v>
      </c>
      <c r="I72" s="5" t="s">
        <v>385</v>
      </c>
      <c r="J72" s="5" t="s">
        <v>386</v>
      </c>
      <c r="K72" s="7" t="s">
        <v>387</v>
      </c>
      <c r="L72" s="14" t="s">
        <v>388</v>
      </c>
      <c r="M72" s="5" t="n">
        <v>3000</v>
      </c>
      <c r="N72" s="5" t="n">
        <v>3000</v>
      </c>
      <c r="O72" s="10" t="s">
        <v>286</v>
      </c>
      <c r="P72" s="10" t="s">
        <v>66</v>
      </c>
    </row>
    <row r="73" customFormat="false" ht="114.75" hidden="false" customHeight="true" outlineLevel="0" collapsed="false">
      <c r="A73" s="5" t="s">
        <v>16</v>
      </c>
      <c r="B73" s="5" t="n">
        <v>1</v>
      </c>
      <c r="C73" s="5" t="s">
        <v>389</v>
      </c>
      <c r="D73" s="5" t="s">
        <v>96</v>
      </c>
      <c r="E73" s="5" t="n">
        <v>2022</v>
      </c>
      <c r="F73" s="5" t="s">
        <v>18</v>
      </c>
      <c r="G73" s="5" t="s">
        <v>19</v>
      </c>
      <c r="H73" s="5" t="s">
        <v>186</v>
      </c>
      <c r="I73" s="17" t="s">
        <v>390</v>
      </c>
      <c r="J73" s="5" t="s">
        <v>119</v>
      </c>
      <c r="K73" s="7" t="s">
        <v>391</v>
      </c>
      <c r="L73" s="8" t="s">
        <v>392</v>
      </c>
      <c r="M73" s="5" t="n">
        <v>6300</v>
      </c>
      <c r="N73" s="5" t="n">
        <v>6300</v>
      </c>
      <c r="O73" s="10" t="s">
        <v>119</v>
      </c>
      <c r="P73" s="10" t="s">
        <v>66</v>
      </c>
    </row>
    <row r="74" customFormat="false" ht="114.75" hidden="false" customHeight="true" outlineLevel="0" collapsed="false">
      <c r="A74" s="5" t="s">
        <v>16</v>
      </c>
      <c r="B74" s="5" t="n">
        <v>1</v>
      </c>
      <c r="C74" s="5" t="s">
        <v>393</v>
      </c>
      <c r="D74" s="5" t="s">
        <v>297</v>
      </c>
      <c r="E74" s="5" t="n">
        <v>2022</v>
      </c>
      <c r="F74" s="5" t="s">
        <v>18</v>
      </c>
      <c r="G74" s="5" t="s">
        <v>19</v>
      </c>
      <c r="H74" s="5" t="s">
        <v>186</v>
      </c>
      <c r="I74" s="5" t="s">
        <v>394</v>
      </c>
      <c r="J74" s="5" t="s">
        <v>119</v>
      </c>
      <c r="K74" s="7" t="s">
        <v>395</v>
      </c>
      <c r="L74" s="14" t="s">
        <v>396</v>
      </c>
      <c r="M74" s="5" t="n">
        <v>519</v>
      </c>
      <c r="N74" s="5" t="n">
        <v>519</v>
      </c>
      <c r="O74" s="10" t="s">
        <v>119</v>
      </c>
      <c r="P74" s="10" t="s">
        <v>66</v>
      </c>
    </row>
    <row r="75" customFormat="false" ht="114.75" hidden="false" customHeight="true" outlineLevel="0" collapsed="false">
      <c r="A75" s="5" t="s">
        <v>16</v>
      </c>
      <c r="B75" s="5" t="n">
        <v>1</v>
      </c>
      <c r="C75" s="5" t="s">
        <v>397</v>
      </c>
      <c r="D75" s="5" t="s">
        <v>303</v>
      </c>
      <c r="E75" s="5" t="n">
        <v>2022</v>
      </c>
      <c r="F75" s="5" t="s">
        <v>18</v>
      </c>
      <c r="G75" s="5" t="s">
        <v>19</v>
      </c>
      <c r="H75" s="5" t="s">
        <v>66</v>
      </c>
      <c r="I75" s="5" t="s">
        <v>398</v>
      </c>
      <c r="J75" s="5" t="s">
        <v>227</v>
      </c>
      <c r="K75" s="7" t="s">
        <v>399</v>
      </c>
      <c r="L75" s="14" t="s">
        <v>400</v>
      </c>
      <c r="M75" s="5" t="n">
        <v>285</v>
      </c>
      <c r="N75" s="5" t="n">
        <v>285</v>
      </c>
      <c r="O75" s="10" t="s">
        <v>119</v>
      </c>
      <c r="P75" s="10" t="s">
        <v>66</v>
      </c>
    </row>
    <row r="76" s="18" customFormat="true" ht="114.75" hidden="false" customHeight="true" outlineLevel="0" collapsed="false">
      <c r="A76" s="5" t="s">
        <v>401</v>
      </c>
      <c r="B76" s="5" t="n">
        <v>49</v>
      </c>
      <c r="C76" s="5" t="s">
        <v>17</v>
      </c>
      <c r="D76" s="5" t="s">
        <v>17</v>
      </c>
      <c r="E76" s="5" t="n">
        <v>2022</v>
      </c>
      <c r="F76" s="5" t="s">
        <v>175</v>
      </c>
      <c r="G76" s="5" t="s">
        <v>19</v>
      </c>
      <c r="H76" s="5" t="s">
        <v>66</v>
      </c>
      <c r="I76" s="5" t="s">
        <v>402</v>
      </c>
      <c r="J76" s="5" t="s">
        <v>403</v>
      </c>
      <c r="K76" s="7" t="s">
        <v>404</v>
      </c>
      <c r="L76" s="8" t="s">
        <v>405</v>
      </c>
      <c r="M76" s="5" t="n">
        <v>240</v>
      </c>
      <c r="N76" s="5" t="n">
        <v>240</v>
      </c>
      <c r="O76" s="9" t="s">
        <v>25</v>
      </c>
      <c r="P76" s="9" t="s">
        <v>66</v>
      </c>
    </row>
    <row r="77" customFormat="false" ht="114.75" hidden="false" customHeight="true" outlineLevel="0" collapsed="false">
      <c r="A77" s="5" t="s">
        <v>406</v>
      </c>
      <c r="B77" s="5" t="n">
        <v>50</v>
      </c>
      <c r="C77" s="5" t="s">
        <v>407</v>
      </c>
      <c r="D77" s="5" t="s">
        <v>28</v>
      </c>
      <c r="E77" s="5" t="n">
        <v>2020</v>
      </c>
      <c r="F77" s="5" t="s">
        <v>408</v>
      </c>
      <c r="G77" s="5" t="s">
        <v>73</v>
      </c>
      <c r="H77" s="5" t="s">
        <v>79</v>
      </c>
      <c r="I77" s="5" t="s">
        <v>409</v>
      </c>
      <c r="J77" s="5" t="s">
        <v>227</v>
      </c>
      <c r="K77" s="7" t="s">
        <v>410</v>
      </c>
      <c r="L77" s="14" t="s">
        <v>411</v>
      </c>
      <c r="M77" s="5" t="n">
        <v>1410</v>
      </c>
      <c r="N77" s="5" t="n">
        <v>1410</v>
      </c>
      <c r="O77" s="10" t="s">
        <v>25</v>
      </c>
      <c r="P77" s="10" t="s">
        <v>82</v>
      </c>
    </row>
    <row r="78" customFormat="false" ht="114.75" hidden="false" customHeight="true" outlineLevel="0" collapsed="false">
      <c r="A78" s="5" t="s">
        <v>406</v>
      </c>
      <c r="B78" s="5" t="n">
        <v>50</v>
      </c>
      <c r="C78" s="5" t="s">
        <v>412</v>
      </c>
      <c r="D78" s="5" t="s">
        <v>90</v>
      </c>
      <c r="E78" s="5" t="n">
        <v>2023</v>
      </c>
      <c r="F78" s="5" t="s">
        <v>413</v>
      </c>
      <c r="G78" s="5" t="s">
        <v>73</v>
      </c>
      <c r="H78" s="5" t="s">
        <v>79</v>
      </c>
      <c r="I78" s="5" t="s">
        <v>414</v>
      </c>
      <c r="J78" s="5" t="s">
        <v>221</v>
      </c>
      <c r="K78" s="7" t="s">
        <v>415</v>
      </c>
      <c r="L78" s="14" t="s">
        <v>411</v>
      </c>
      <c r="M78" s="5" t="n">
        <v>1500</v>
      </c>
      <c r="N78" s="5" t="n">
        <v>1500</v>
      </c>
      <c r="O78" s="10" t="s">
        <v>25</v>
      </c>
      <c r="P78" s="10" t="s">
        <v>82</v>
      </c>
    </row>
    <row r="79" customFormat="false" ht="114.75" hidden="false" customHeight="true" outlineLevel="0" collapsed="false">
      <c r="A79" s="5" t="s">
        <v>416</v>
      </c>
      <c r="B79" s="5" t="n">
        <v>51</v>
      </c>
      <c r="C79" s="5" t="s">
        <v>17</v>
      </c>
      <c r="D79" s="5" t="s">
        <v>17</v>
      </c>
      <c r="E79" s="5" t="n">
        <v>2025</v>
      </c>
      <c r="F79" s="5" t="s">
        <v>284</v>
      </c>
      <c r="G79" s="5" t="s">
        <v>73</v>
      </c>
      <c r="H79" s="5" t="s">
        <v>335</v>
      </c>
      <c r="I79" s="5" t="s">
        <v>417</v>
      </c>
      <c r="J79" s="5" t="s">
        <v>418</v>
      </c>
      <c r="K79" s="7" t="s">
        <v>419</v>
      </c>
      <c r="L79" s="8" t="s">
        <v>420</v>
      </c>
      <c r="M79" s="5" t="n">
        <v>600</v>
      </c>
      <c r="N79" s="5" t="n">
        <v>600</v>
      </c>
      <c r="O79" s="10" t="s">
        <v>25</v>
      </c>
      <c r="P79" s="10" t="s">
        <v>82</v>
      </c>
    </row>
    <row r="80" customFormat="false" ht="114.75" hidden="false" customHeight="true" outlineLevel="0" collapsed="false">
      <c r="A80" s="5" t="s">
        <v>421</v>
      </c>
      <c r="B80" s="5" t="n">
        <v>52</v>
      </c>
      <c r="C80" s="5" t="s">
        <v>407</v>
      </c>
      <c r="D80" s="5" t="s">
        <v>28</v>
      </c>
      <c r="E80" s="5" t="n">
        <v>2016</v>
      </c>
      <c r="F80" s="5" t="s">
        <v>244</v>
      </c>
      <c r="G80" s="5" t="s">
        <v>73</v>
      </c>
      <c r="H80" s="5" t="s">
        <v>335</v>
      </c>
      <c r="I80" s="5" t="s">
        <v>422</v>
      </c>
      <c r="J80" s="5" t="s">
        <v>423</v>
      </c>
      <c r="K80" s="7" t="s">
        <v>424</v>
      </c>
      <c r="L80" s="14" t="s">
        <v>425</v>
      </c>
      <c r="M80" s="5" t="n">
        <v>4000</v>
      </c>
      <c r="N80" s="5" t="n">
        <v>4000</v>
      </c>
      <c r="O80" s="10" t="s">
        <v>107</v>
      </c>
      <c r="P80" s="10" t="s">
        <v>82</v>
      </c>
    </row>
    <row r="81" customFormat="false" ht="114.75" hidden="false" customHeight="true" outlineLevel="0" collapsed="false">
      <c r="A81" s="5" t="s">
        <v>421</v>
      </c>
      <c r="B81" s="5" t="n">
        <v>52</v>
      </c>
      <c r="C81" s="5" t="s">
        <v>412</v>
      </c>
      <c r="D81" s="5" t="s">
        <v>90</v>
      </c>
      <c r="E81" s="5" t="n">
        <v>2020</v>
      </c>
      <c r="F81" s="5" t="s">
        <v>426</v>
      </c>
      <c r="G81" s="5" t="s">
        <v>73</v>
      </c>
      <c r="H81" s="5" t="s">
        <v>335</v>
      </c>
      <c r="I81" s="5" t="s">
        <v>427</v>
      </c>
      <c r="J81" s="5" t="s">
        <v>423</v>
      </c>
      <c r="K81" s="7" t="s">
        <v>428</v>
      </c>
      <c r="L81" s="14" t="s">
        <v>425</v>
      </c>
      <c r="M81" s="5" t="n">
        <v>2000</v>
      </c>
      <c r="N81" s="5" t="n">
        <v>2000</v>
      </c>
      <c r="O81" s="10" t="s">
        <v>107</v>
      </c>
      <c r="P81" s="10" t="s">
        <v>82</v>
      </c>
    </row>
    <row r="82" customFormat="false" ht="114.75" hidden="false" customHeight="true" outlineLevel="0" collapsed="false">
      <c r="A82" s="5" t="s">
        <v>421</v>
      </c>
      <c r="B82" s="5" t="n">
        <v>52</v>
      </c>
      <c r="C82" s="5" t="s">
        <v>429</v>
      </c>
      <c r="D82" s="5" t="s">
        <v>96</v>
      </c>
      <c r="E82" s="5" t="n">
        <v>2025</v>
      </c>
      <c r="F82" s="5" t="s">
        <v>289</v>
      </c>
      <c r="G82" s="5" t="s">
        <v>73</v>
      </c>
      <c r="H82" s="5" t="s">
        <v>335</v>
      </c>
      <c r="I82" s="5" t="s">
        <v>430</v>
      </c>
      <c r="J82" s="5" t="s">
        <v>423</v>
      </c>
      <c r="K82" s="7" t="s">
        <v>431</v>
      </c>
      <c r="L82" s="14" t="s">
        <v>425</v>
      </c>
      <c r="M82" s="5" t="n">
        <v>74.3</v>
      </c>
      <c r="N82" s="5" t="n">
        <v>74.3</v>
      </c>
      <c r="O82" s="10" t="s">
        <v>107</v>
      </c>
      <c r="P82" s="10" t="s">
        <v>82</v>
      </c>
    </row>
    <row r="83" s="19" customFormat="true" ht="114.75" hidden="false" customHeight="true" outlineLevel="0" collapsed="false">
      <c r="A83" s="5" t="s">
        <v>432</v>
      </c>
      <c r="B83" s="5" t="n">
        <v>53</v>
      </c>
      <c r="C83" s="5" t="s">
        <v>17</v>
      </c>
      <c r="D83" s="5" t="s">
        <v>17</v>
      </c>
      <c r="E83" s="5" t="n">
        <v>2024</v>
      </c>
      <c r="F83" s="5" t="s">
        <v>433</v>
      </c>
      <c r="G83" s="5" t="s">
        <v>73</v>
      </c>
      <c r="H83" s="5" t="s">
        <v>335</v>
      </c>
      <c r="I83" s="5" t="s">
        <v>434</v>
      </c>
      <c r="J83" s="5" t="s">
        <v>423</v>
      </c>
      <c r="K83" s="7" t="s">
        <v>435</v>
      </c>
      <c r="L83" s="14" t="s">
        <v>436</v>
      </c>
      <c r="M83" s="5" t="n">
        <v>7000</v>
      </c>
      <c r="N83" s="5" t="n">
        <v>7000</v>
      </c>
      <c r="O83" s="10" t="s">
        <v>107</v>
      </c>
      <c r="P83" s="10" t="s">
        <v>82</v>
      </c>
    </row>
    <row r="84" s="19" customFormat="true" ht="114.75" hidden="false" customHeight="true" outlineLevel="0" collapsed="false">
      <c r="A84" s="5" t="s">
        <v>432</v>
      </c>
      <c r="B84" s="5" t="n">
        <v>53</v>
      </c>
      <c r="C84" s="5" t="s">
        <v>437</v>
      </c>
      <c r="D84" s="5" t="s">
        <v>28</v>
      </c>
      <c r="E84" s="5" t="n">
        <v>2024</v>
      </c>
      <c r="F84" s="5" t="s">
        <v>433</v>
      </c>
      <c r="G84" s="5" t="s">
        <v>73</v>
      </c>
      <c r="H84" s="5" t="s">
        <v>335</v>
      </c>
      <c r="I84" s="5" t="s">
        <v>438</v>
      </c>
      <c r="J84" s="5" t="s">
        <v>439</v>
      </c>
      <c r="K84" s="7" t="s">
        <v>440</v>
      </c>
      <c r="L84" s="14" t="s">
        <v>436</v>
      </c>
      <c r="M84" s="5" t="n">
        <v>520</v>
      </c>
      <c r="N84" s="5" t="n">
        <v>520</v>
      </c>
      <c r="O84" s="9" t="s">
        <v>38</v>
      </c>
      <c r="P84" s="9" t="s">
        <v>82</v>
      </c>
    </row>
    <row r="85" customFormat="false" ht="114.75" hidden="false" customHeight="true" outlineLevel="0" collapsed="false">
      <c r="A85" s="5" t="s">
        <v>441</v>
      </c>
      <c r="B85" s="5" t="n">
        <v>54</v>
      </c>
      <c r="C85" s="5" t="s">
        <v>17</v>
      </c>
      <c r="D85" s="5" t="s">
        <v>17</v>
      </c>
      <c r="E85" s="5" t="n">
        <v>2024</v>
      </c>
      <c r="F85" s="5" t="s">
        <v>97</v>
      </c>
      <c r="G85" s="5" t="s">
        <v>73</v>
      </c>
      <c r="H85" s="5" t="s">
        <v>335</v>
      </c>
      <c r="I85" s="5" t="s">
        <v>442</v>
      </c>
      <c r="J85" s="5" t="s">
        <v>443</v>
      </c>
      <c r="K85" s="7" t="s">
        <v>444</v>
      </c>
      <c r="L85" s="8" t="s">
        <v>445</v>
      </c>
      <c r="M85" s="5" t="n">
        <v>8500</v>
      </c>
      <c r="N85" s="5" t="n">
        <f aca="false">M85*0.14</f>
        <v>1190</v>
      </c>
      <c r="O85" s="10" t="s">
        <v>107</v>
      </c>
      <c r="P85" s="10" t="s">
        <v>82</v>
      </c>
    </row>
    <row r="86" customFormat="false" ht="114.75" hidden="false" customHeight="true" outlineLevel="0" collapsed="false">
      <c r="A86" s="5" t="s">
        <v>16</v>
      </c>
      <c r="B86" s="5" t="n">
        <v>1</v>
      </c>
      <c r="C86" s="5" t="s">
        <v>446</v>
      </c>
      <c r="D86" s="5" t="s">
        <v>307</v>
      </c>
      <c r="E86" s="5" t="n">
        <v>2022</v>
      </c>
      <c r="F86" s="5" t="s">
        <v>18</v>
      </c>
      <c r="G86" s="6" t="s">
        <v>19</v>
      </c>
      <c r="H86" s="5" t="s">
        <v>66</v>
      </c>
      <c r="I86" s="5" t="s">
        <v>447</v>
      </c>
      <c r="J86" s="5" t="s">
        <v>25</v>
      </c>
      <c r="K86" s="7" t="s">
        <v>448</v>
      </c>
      <c r="L86" s="8" t="s">
        <v>24</v>
      </c>
      <c r="M86" s="5" t="n">
        <v>39000</v>
      </c>
      <c r="N86" s="5" t="n">
        <v>39000</v>
      </c>
      <c r="O86" s="10" t="s">
        <v>25</v>
      </c>
      <c r="P86" s="10" t="s">
        <v>66</v>
      </c>
    </row>
    <row r="87" customFormat="false" ht="114.75" hidden="false" customHeight="true" outlineLevel="0" collapsed="false">
      <c r="A87" s="5" t="s">
        <v>449</v>
      </c>
      <c r="B87" s="5" t="n">
        <v>55</v>
      </c>
      <c r="C87" s="5" t="s">
        <v>17</v>
      </c>
      <c r="D87" s="5" t="s">
        <v>17</v>
      </c>
      <c r="E87" s="5" t="n">
        <v>2023</v>
      </c>
      <c r="F87" s="5" t="s">
        <v>109</v>
      </c>
      <c r="G87" s="5" t="s">
        <v>128</v>
      </c>
      <c r="H87" s="5" t="s">
        <v>40</v>
      </c>
      <c r="I87" s="5" t="s">
        <v>17</v>
      </c>
      <c r="J87" s="5" t="s">
        <v>38</v>
      </c>
      <c r="K87" s="7" t="s">
        <v>450</v>
      </c>
      <c r="L87" s="14" t="s">
        <v>451</v>
      </c>
      <c r="M87" s="10" t="s">
        <v>17</v>
      </c>
      <c r="N87" s="10" t="s">
        <v>17</v>
      </c>
      <c r="O87" s="10" t="s">
        <v>38</v>
      </c>
      <c r="P87" s="10" t="s">
        <v>45</v>
      </c>
    </row>
    <row r="88" customFormat="false" ht="114.75" hidden="false" customHeight="true" outlineLevel="0" collapsed="false">
      <c r="A88" s="5" t="s">
        <v>168</v>
      </c>
      <c r="B88" s="5" t="n">
        <v>20</v>
      </c>
      <c r="C88" s="5" t="s">
        <v>452</v>
      </c>
      <c r="D88" s="5" t="s">
        <v>28</v>
      </c>
      <c r="E88" s="5" t="n">
        <v>2021</v>
      </c>
      <c r="F88" s="5" t="s">
        <v>114</v>
      </c>
      <c r="G88" s="5" t="s">
        <v>163</v>
      </c>
      <c r="H88" s="5" t="s">
        <v>59</v>
      </c>
      <c r="I88" s="5" t="s">
        <v>453</v>
      </c>
      <c r="J88" s="5" t="s">
        <v>454</v>
      </c>
      <c r="K88" s="7" t="s">
        <v>455</v>
      </c>
      <c r="L88" s="8" t="s">
        <v>456</v>
      </c>
      <c r="M88" s="10" t="s">
        <v>17</v>
      </c>
      <c r="N88" s="10" t="s">
        <v>17</v>
      </c>
      <c r="O88" s="10" t="s">
        <v>107</v>
      </c>
      <c r="P88" s="10" t="s">
        <v>59</v>
      </c>
    </row>
    <row r="89" customFormat="false" ht="114.75" hidden="false" customHeight="true" outlineLevel="0" collapsed="false">
      <c r="A89" s="5" t="s">
        <v>168</v>
      </c>
      <c r="B89" s="5" t="n">
        <v>20</v>
      </c>
      <c r="C89" s="5" t="s">
        <v>457</v>
      </c>
      <c r="D89" s="5" t="s">
        <v>90</v>
      </c>
      <c r="E89" s="5" t="n">
        <v>2021</v>
      </c>
      <c r="F89" s="5" t="s">
        <v>458</v>
      </c>
      <c r="G89" s="5" t="s">
        <v>163</v>
      </c>
      <c r="H89" s="5" t="s">
        <v>66</v>
      </c>
      <c r="I89" s="5" t="s">
        <v>17</v>
      </c>
      <c r="J89" s="5" t="s">
        <v>459</v>
      </c>
      <c r="K89" s="7" t="s">
        <v>460</v>
      </c>
      <c r="L89" s="8" t="s">
        <v>461</v>
      </c>
      <c r="M89" s="10" t="s">
        <v>17</v>
      </c>
      <c r="N89" s="10" t="s">
        <v>17</v>
      </c>
      <c r="O89" s="10" t="s">
        <v>119</v>
      </c>
      <c r="P89" s="10" t="s">
        <v>66</v>
      </c>
    </row>
    <row r="90" customFormat="false" ht="114.75" hidden="false" customHeight="true" outlineLevel="0" collapsed="false">
      <c r="A90" s="6" t="s">
        <v>462</v>
      </c>
      <c r="B90" s="5" t="n">
        <v>56</v>
      </c>
      <c r="C90" s="6" t="s">
        <v>17</v>
      </c>
      <c r="D90" s="5" t="s">
        <v>17</v>
      </c>
      <c r="E90" s="5" t="n">
        <v>2021</v>
      </c>
      <c r="F90" s="5" t="s">
        <v>463</v>
      </c>
      <c r="G90" s="5" t="s">
        <v>193</v>
      </c>
      <c r="H90" s="5" t="s">
        <v>66</v>
      </c>
      <c r="I90" s="5" t="s">
        <v>464</v>
      </c>
      <c r="J90" s="5" t="s">
        <v>119</v>
      </c>
      <c r="K90" s="7" t="s">
        <v>465</v>
      </c>
      <c r="L90" s="8" t="s">
        <v>466</v>
      </c>
      <c r="M90" s="5" t="n">
        <v>1650</v>
      </c>
      <c r="N90" s="5" t="n">
        <f aca="false">M90*1.17</f>
        <v>1930.5</v>
      </c>
      <c r="O90" s="10" t="s">
        <v>119</v>
      </c>
      <c r="P90" s="10" t="s">
        <v>66</v>
      </c>
    </row>
    <row r="91" customFormat="false" ht="114.75" hidden="false" customHeight="true" outlineLevel="0" collapsed="false">
      <c r="A91" s="6" t="s">
        <v>467</v>
      </c>
      <c r="B91" s="5" t="n">
        <v>57</v>
      </c>
      <c r="C91" s="6" t="s">
        <v>17</v>
      </c>
      <c r="D91" s="5" t="s">
        <v>17</v>
      </c>
      <c r="E91" s="5" t="n">
        <v>2021</v>
      </c>
      <c r="F91" s="5" t="s">
        <v>463</v>
      </c>
      <c r="G91" s="5" t="s">
        <v>193</v>
      </c>
      <c r="H91" s="5" t="s">
        <v>66</v>
      </c>
      <c r="I91" s="5" t="s">
        <v>464</v>
      </c>
      <c r="J91" s="5" t="s">
        <v>468</v>
      </c>
      <c r="K91" s="7" t="s">
        <v>469</v>
      </c>
      <c r="L91" s="8" t="s">
        <v>466</v>
      </c>
      <c r="M91" s="5" t="n">
        <v>1650</v>
      </c>
      <c r="N91" s="5" t="n">
        <f aca="false">M91*1.17</f>
        <v>1930.5</v>
      </c>
      <c r="O91" s="10" t="s">
        <v>44</v>
      </c>
      <c r="P91" s="10" t="s">
        <v>66</v>
      </c>
    </row>
    <row r="92" customFormat="false" ht="114.75" hidden="false" customHeight="true" outlineLevel="0" collapsed="false">
      <c r="A92" s="6" t="s">
        <v>462</v>
      </c>
      <c r="B92" s="5" t="n">
        <v>56</v>
      </c>
      <c r="C92" s="5" t="s">
        <v>470</v>
      </c>
      <c r="D92" s="5" t="s">
        <v>28</v>
      </c>
      <c r="E92" s="5" t="n">
        <v>2014</v>
      </c>
      <c r="F92" s="5" t="s">
        <v>471</v>
      </c>
      <c r="G92" s="5" t="s">
        <v>193</v>
      </c>
      <c r="H92" s="5" t="s">
        <v>66</v>
      </c>
      <c r="I92" s="5" t="s">
        <v>472</v>
      </c>
      <c r="J92" s="5" t="s">
        <v>473</v>
      </c>
      <c r="K92" s="7" t="s">
        <v>474</v>
      </c>
      <c r="L92" s="8" t="s">
        <v>475</v>
      </c>
      <c r="M92" s="5" t="n">
        <v>4800</v>
      </c>
      <c r="N92" s="5" t="n">
        <f aca="false">M92*1.17</f>
        <v>5616</v>
      </c>
      <c r="O92" s="10" t="s">
        <v>119</v>
      </c>
      <c r="P92" s="10" t="s">
        <v>66</v>
      </c>
    </row>
    <row r="93" customFormat="false" ht="114.75" hidden="false" customHeight="true" outlineLevel="0" collapsed="false">
      <c r="A93" s="5" t="s">
        <v>16</v>
      </c>
      <c r="B93" s="5" t="n">
        <v>1</v>
      </c>
      <c r="C93" s="5" t="s">
        <v>476</v>
      </c>
      <c r="D93" s="5" t="s">
        <v>313</v>
      </c>
      <c r="E93" s="5" t="n">
        <v>2022</v>
      </c>
      <c r="F93" s="5" t="s">
        <v>18</v>
      </c>
      <c r="G93" s="6" t="s">
        <v>19</v>
      </c>
      <c r="H93" s="5" t="s">
        <v>66</v>
      </c>
      <c r="I93" s="5" t="s">
        <v>477</v>
      </c>
      <c r="J93" s="5" t="s">
        <v>25</v>
      </c>
      <c r="K93" s="7" t="s">
        <v>478</v>
      </c>
      <c r="L93" s="8" t="s">
        <v>479</v>
      </c>
      <c r="M93" s="5" t="n">
        <v>2000</v>
      </c>
      <c r="N93" s="5" t="n">
        <v>2000</v>
      </c>
      <c r="O93" s="10" t="s">
        <v>25</v>
      </c>
      <c r="P93" s="10" t="s">
        <v>66</v>
      </c>
    </row>
    <row r="94" customFormat="false" ht="114.75" hidden="false" customHeight="true" outlineLevel="0" collapsed="false">
      <c r="A94" s="5" t="s">
        <v>64</v>
      </c>
      <c r="B94" s="5" t="n">
        <v>6</v>
      </c>
      <c r="C94" s="5" t="s">
        <v>480</v>
      </c>
      <c r="D94" s="5" t="s">
        <v>28</v>
      </c>
      <c r="E94" s="5" t="n">
        <v>2023</v>
      </c>
      <c r="F94" s="5" t="s">
        <v>175</v>
      </c>
      <c r="G94" s="6" t="s">
        <v>19</v>
      </c>
      <c r="H94" s="5" t="s">
        <v>66</v>
      </c>
      <c r="I94" s="5" t="s">
        <v>481</v>
      </c>
      <c r="J94" s="5" t="s">
        <v>423</v>
      </c>
      <c r="K94" s="7" t="s">
        <v>482</v>
      </c>
      <c r="L94" s="8" t="s">
        <v>70</v>
      </c>
      <c r="M94" s="5" t="n">
        <v>948</v>
      </c>
      <c r="N94" s="5" t="n">
        <v>948</v>
      </c>
      <c r="O94" s="10" t="s">
        <v>25</v>
      </c>
      <c r="P94" s="10" t="s">
        <v>66</v>
      </c>
    </row>
    <row r="95" customFormat="false" ht="114.75" hidden="false" customHeight="true" outlineLevel="0" collapsed="false">
      <c r="A95" s="5" t="s">
        <v>64</v>
      </c>
      <c r="B95" s="5" t="n">
        <v>6</v>
      </c>
      <c r="C95" s="5" t="s">
        <v>483</v>
      </c>
      <c r="D95" s="5" t="s">
        <v>90</v>
      </c>
      <c r="E95" s="5" t="n">
        <v>2023</v>
      </c>
      <c r="F95" s="5" t="s">
        <v>175</v>
      </c>
      <c r="G95" s="6" t="s">
        <v>19</v>
      </c>
      <c r="H95" s="5" t="s">
        <v>66</v>
      </c>
      <c r="I95" s="5" t="s">
        <v>484</v>
      </c>
      <c r="J95" s="5" t="s">
        <v>119</v>
      </c>
      <c r="K95" s="7" t="s">
        <v>485</v>
      </c>
      <c r="L95" s="8" t="s">
        <v>70</v>
      </c>
      <c r="M95" s="5" t="n">
        <v>660</v>
      </c>
      <c r="N95" s="5" t="n">
        <v>660</v>
      </c>
      <c r="O95" s="10" t="s">
        <v>119</v>
      </c>
      <c r="P95" s="10" t="s">
        <v>66</v>
      </c>
    </row>
    <row r="96" customFormat="false" ht="114.75" hidden="false" customHeight="true" outlineLevel="0" collapsed="false">
      <c r="A96" s="5" t="s">
        <v>71</v>
      </c>
      <c r="B96" s="5" t="n">
        <v>7</v>
      </c>
      <c r="C96" s="5" t="s">
        <v>486</v>
      </c>
      <c r="D96" s="5" t="s">
        <v>28</v>
      </c>
      <c r="E96" s="5" t="n">
        <v>2016</v>
      </c>
      <c r="F96" s="5" t="s">
        <v>244</v>
      </c>
      <c r="G96" s="5" t="s">
        <v>73</v>
      </c>
      <c r="H96" s="5" t="s">
        <v>74</v>
      </c>
      <c r="I96" s="5" t="s">
        <v>487</v>
      </c>
      <c r="J96" s="5" t="s">
        <v>488</v>
      </c>
      <c r="K96" s="7" t="s">
        <v>489</v>
      </c>
      <c r="L96" s="14" t="s">
        <v>490</v>
      </c>
      <c r="M96" s="10" t="s">
        <v>17</v>
      </c>
      <c r="N96" s="10" t="s">
        <v>17</v>
      </c>
      <c r="O96" s="10" t="s">
        <v>107</v>
      </c>
      <c r="P96" s="10" t="s">
        <v>74</v>
      </c>
    </row>
    <row r="97" customFormat="false" ht="114.75" hidden="false" customHeight="true" outlineLevel="0" collapsed="false">
      <c r="A97" s="5" t="s">
        <v>71</v>
      </c>
      <c r="B97" s="5" t="n">
        <v>7</v>
      </c>
      <c r="C97" s="5" t="s">
        <v>491</v>
      </c>
      <c r="D97" s="5" t="s">
        <v>90</v>
      </c>
      <c r="E97" s="5" t="n">
        <v>2020</v>
      </c>
      <c r="F97" s="5" t="s">
        <v>237</v>
      </c>
      <c r="G97" s="5" t="s">
        <v>73</v>
      </c>
      <c r="H97" s="5" t="s">
        <v>74</v>
      </c>
      <c r="I97" s="5" t="s">
        <v>487</v>
      </c>
      <c r="J97" s="5" t="s">
        <v>492</v>
      </c>
      <c r="K97" s="7" t="s">
        <v>493</v>
      </c>
      <c r="L97" s="14" t="s">
        <v>494</v>
      </c>
      <c r="M97" s="10" t="s">
        <v>17</v>
      </c>
      <c r="N97" s="10" t="s">
        <v>17</v>
      </c>
      <c r="O97" s="10" t="s">
        <v>44</v>
      </c>
      <c r="P97" s="10" t="s">
        <v>74</v>
      </c>
    </row>
    <row r="98" customFormat="false" ht="114.75" hidden="false" customHeight="true" outlineLevel="0" collapsed="false">
      <c r="A98" s="5" t="s">
        <v>495</v>
      </c>
      <c r="B98" s="5" t="n">
        <v>58</v>
      </c>
      <c r="C98" s="5" t="s">
        <v>17</v>
      </c>
      <c r="D98" s="5" t="s">
        <v>17</v>
      </c>
      <c r="E98" s="5" t="n">
        <v>2019</v>
      </c>
      <c r="F98" s="5" t="s">
        <v>496</v>
      </c>
      <c r="G98" s="5" t="s">
        <v>163</v>
      </c>
      <c r="H98" s="5" t="s">
        <v>497</v>
      </c>
      <c r="I98" s="5" t="s">
        <v>498</v>
      </c>
      <c r="J98" s="5" t="s">
        <v>499</v>
      </c>
      <c r="K98" s="7" t="s">
        <v>500</v>
      </c>
      <c r="L98" s="14" t="s">
        <v>501</v>
      </c>
      <c r="M98" s="5" t="n">
        <v>1960000</v>
      </c>
      <c r="N98" s="5" t="n">
        <f aca="false">M98*0.00068</f>
        <v>1332.8</v>
      </c>
      <c r="O98" s="10" t="s">
        <v>44</v>
      </c>
      <c r="P98" s="10" t="s">
        <v>74</v>
      </c>
    </row>
    <row r="99" customFormat="false" ht="114.75" hidden="false" customHeight="true" outlineLevel="0" collapsed="false">
      <c r="A99" s="5" t="s">
        <v>502</v>
      </c>
      <c r="B99" s="5" t="n">
        <v>59</v>
      </c>
      <c r="C99" s="5" t="s">
        <v>17</v>
      </c>
      <c r="D99" s="5" t="s">
        <v>17</v>
      </c>
      <c r="E99" s="5" t="n">
        <v>2020</v>
      </c>
      <c r="F99" s="5" t="s">
        <v>496</v>
      </c>
      <c r="G99" s="5" t="s">
        <v>128</v>
      </c>
      <c r="H99" s="5" t="s">
        <v>66</v>
      </c>
      <c r="I99" s="5" t="s">
        <v>503</v>
      </c>
      <c r="J99" s="5" t="s">
        <v>504</v>
      </c>
      <c r="K99" s="7" t="s">
        <v>505</v>
      </c>
      <c r="L99" s="8" t="s">
        <v>506</v>
      </c>
      <c r="M99" s="5" t="n">
        <v>550000</v>
      </c>
      <c r="N99" s="5" t="n">
        <f aca="false">M99*0.0063</f>
        <v>3465</v>
      </c>
      <c r="O99" s="10" t="s">
        <v>110</v>
      </c>
      <c r="P99" s="10" t="s">
        <v>66</v>
      </c>
    </row>
    <row r="100" customFormat="false" ht="114.75" hidden="false" customHeight="true" outlineLevel="0" collapsed="false">
      <c r="A100" s="5" t="s">
        <v>507</v>
      </c>
      <c r="B100" s="5" t="n">
        <v>60</v>
      </c>
      <c r="C100" s="5" t="s">
        <v>487</v>
      </c>
      <c r="D100" s="5" t="s">
        <v>17</v>
      </c>
      <c r="E100" s="5" t="n">
        <v>2021</v>
      </c>
      <c r="F100" s="5" t="s">
        <v>508</v>
      </c>
      <c r="G100" s="5" t="s">
        <v>128</v>
      </c>
      <c r="H100" s="5" t="s">
        <v>74</v>
      </c>
      <c r="I100" s="5" t="s">
        <v>487</v>
      </c>
      <c r="J100" s="5" t="s">
        <v>119</v>
      </c>
      <c r="K100" s="7" t="s">
        <v>509</v>
      </c>
      <c r="L100" s="14" t="s">
        <v>510</v>
      </c>
      <c r="M100" s="10" t="s">
        <v>17</v>
      </c>
      <c r="N100" s="10" t="s">
        <v>17</v>
      </c>
      <c r="O100" s="10" t="s">
        <v>119</v>
      </c>
      <c r="P100" s="10" t="s">
        <v>74</v>
      </c>
    </row>
    <row r="101" customFormat="false" ht="114.75" hidden="false" customHeight="true" outlineLevel="0" collapsed="false">
      <c r="A101" s="5" t="s">
        <v>147</v>
      </c>
      <c r="B101" s="5" t="n">
        <v>16</v>
      </c>
      <c r="C101" s="5" t="s">
        <v>511</v>
      </c>
      <c r="D101" s="9" t="s">
        <v>28</v>
      </c>
      <c r="E101" s="5" t="n">
        <v>2022</v>
      </c>
      <c r="F101" s="5" t="s">
        <v>53</v>
      </c>
      <c r="G101" s="5" t="s">
        <v>128</v>
      </c>
      <c r="H101" s="5" t="s">
        <v>66</v>
      </c>
      <c r="I101" s="5" t="s">
        <v>512</v>
      </c>
      <c r="J101" s="5" t="s">
        <v>119</v>
      </c>
      <c r="K101" s="10" t="s">
        <v>513</v>
      </c>
      <c r="L101" s="20" t="s">
        <v>514</v>
      </c>
      <c r="M101" s="5" t="n">
        <v>250000</v>
      </c>
      <c r="N101" s="5" t="n">
        <f aca="false">M101*0.0063</f>
        <v>1575</v>
      </c>
      <c r="O101" s="10" t="s">
        <v>119</v>
      </c>
      <c r="P101" s="10" t="s">
        <v>66</v>
      </c>
    </row>
    <row r="102" customFormat="false" ht="114.75" hidden="false" customHeight="true" outlineLevel="0" collapsed="false">
      <c r="A102" s="21" t="s">
        <v>515</v>
      </c>
      <c r="B102" s="22" t="n">
        <v>61</v>
      </c>
      <c r="C102" s="21" t="s">
        <v>17</v>
      </c>
      <c r="D102" s="21" t="s">
        <v>17</v>
      </c>
      <c r="E102" s="22" t="n">
        <v>2025</v>
      </c>
      <c r="F102" s="21" t="s">
        <v>320</v>
      </c>
      <c r="G102" s="21" t="s">
        <v>163</v>
      </c>
      <c r="H102" s="21" t="s">
        <v>335</v>
      </c>
      <c r="I102" s="21" t="s">
        <v>516</v>
      </c>
      <c r="J102" s="21" t="s">
        <v>517</v>
      </c>
      <c r="K102" s="23" t="s">
        <v>518</v>
      </c>
      <c r="L102" s="24" t="s">
        <v>519</v>
      </c>
      <c r="M102" s="5" t="n">
        <v>20900000</v>
      </c>
      <c r="N102" s="5" t="n">
        <f aca="false">M102*0.00068</f>
        <v>14212</v>
      </c>
      <c r="O102" s="10" t="s">
        <v>107</v>
      </c>
      <c r="P102" s="10" t="s">
        <v>82</v>
      </c>
    </row>
    <row r="103" customFormat="false" ht="114.75" hidden="false" customHeight="true" outlineLevel="0" collapsed="false">
      <c r="A103" s="5" t="s">
        <v>32</v>
      </c>
      <c r="B103" s="5" t="n">
        <v>2</v>
      </c>
      <c r="C103" s="5" t="s">
        <v>520</v>
      </c>
      <c r="D103" s="9" t="s">
        <v>28</v>
      </c>
      <c r="E103" s="5" t="n">
        <v>2025</v>
      </c>
      <c r="F103" s="5" t="s">
        <v>521</v>
      </c>
      <c r="G103" s="5" t="s">
        <v>19</v>
      </c>
      <c r="H103" s="5" t="s">
        <v>34</v>
      </c>
      <c r="I103" s="5" t="s">
        <v>17</v>
      </c>
      <c r="J103" s="5" t="s">
        <v>35</v>
      </c>
      <c r="K103" s="10" t="s">
        <v>522</v>
      </c>
      <c r="L103" s="20" t="s">
        <v>523</v>
      </c>
      <c r="M103" s="10" t="s">
        <v>17</v>
      </c>
      <c r="N103" s="10" t="s">
        <v>17</v>
      </c>
      <c r="O103" s="10" t="s">
        <v>110</v>
      </c>
      <c r="P103" s="10" t="s">
        <v>34</v>
      </c>
    </row>
    <row r="104" customFormat="false" ht="114.75" hidden="false" customHeight="true" outlineLevel="0" collapsed="false">
      <c r="A104" s="5" t="s">
        <v>524</v>
      </c>
      <c r="B104" s="5" t="n">
        <v>62</v>
      </c>
      <c r="C104" s="5" t="s">
        <v>17</v>
      </c>
      <c r="D104" s="9" t="s">
        <v>17</v>
      </c>
      <c r="E104" s="5" t="n">
        <v>2025</v>
      </c>
      <c r="F104" s="5" t="s">
        <v>268</v>
      </c>
      <c r="G104" s="5" t="s">
        <v>73</v>
      </c>
      <c r="H104" s="5" t="s">
        <v>48</v>
      </c>
      <c r="I104" s="5" t="s">
        <v>17</v>
      </c>
      <c r="J104" s="5" t="s">
        <v>38</v>
      </c>
      <c r="K104" s="10" t="s">
        <v>525</v>
      </c>
      <c r="L104" s="20" t="s">
        <v>526</v>
      </c>
      <c r="M104" s="10" t="s">
        <v>17</v>
      </c>
      <c r="N104" s="10" t="s">
        <v>17</v>
      </c>
      <c r="O104" s="10" t="s">
        <v>38</v>
      </c>
      <c r="P104" s="10" t="s">
        <v>45</v>
      </c>
    </row>
    <row r="105" customFormat="false" ht="114.75" hidden="false" customHeight="true" outlineLevel="0" collapsed="false">
      <c r="A105" s="5" t="s">
        <v>185</v>
      </c>
      <c r="B105" s="5" t="n">
        <v>23</v>
      </c>
      <c r="C105" s="5" t="s">
        <v>527</v>
      </c>
      <c r="D105" s="9" t="s">
        <v>28</v>
      </c>
      <c r="E105" s="5" t="n">
        <v>2025</v>
      </c>
      <c r="F105" s="5" t="s">
        <v>528</v>
      </c>
      <c r="G105" s="5" t="s">
        <v>163</v>
      </c>
      <c r="H105" s="5" t="s">
        <v>529</v>
      </c>
      <c r="I105" s="9" t="s">
        <v>530</v>
      </c>
      <c r="J105" s="5" t="s">
        <v>531</v>
      </c>
      <c r="K105" s="9" t="s">
        <v>532</v>
      </c>
      <c r="L105" s="9" t="s">
        <v>533</v>
      </c>
      <c r="M105" s="5" t="n">
        <v>4800</v>
      </c>
      <c r="N105" s="5" t="n">
        <v>4800</v>
      </c>
      <c r="O105" s="10" t="s">
        <v>107</v>
      </c>
      <c r="P105" s="10" t="s">
        <v>82</v>
      </c>
    </row>
    <row r="106" customFormat="false" ht="78.75" hidden="false" customHeight="true" outlineLevel="0" collapsed="false">
      <c r="A106" s="5" t="s">
        <v>534</v>
      </c>
      <c r="B106" s="5" t="n">
        <v>64</v>
      </c>
      <c r="C106" s="5" t="s">
        <v>17</v>
      </c>
      <c r="D106" s="5" t="s">
        <v>17</v>
      </c>
      <c r="E106" s="5" t="n">
        <v>2022</v>
      </c>
      <c r="F106" s="5" t="s">
        <v>254</v>
      </c>
      <c r="G106" s="5" t="s">
        <v>163</v>
      </c>
      <c r="H106" s="5" t="s">
        <v>535</v>
      </c>
      <c r="I106" s="5" t="s">
        <v>536</v>
      </c>
      <c r="J106" s="5" t="s">
        <v>537</v>
      </c>
      <c r="K106" s="10" t="s">
        <v>538</v>
      </c>
      <c r="L106" s="25" t="s">
        <v>539</v>
      </c>
      <c r="M106" s="10" t="n">
        <v>400000</v>
      </c>
      <c r="N106" s="10" t="n">
        <f aca="false">M106*0.00068</f>
        <v>272</v>
      </c>
      <c r="O106" s="10" t="s">
        <v>44</v>
      </c>
      <c r="P106" s="10" t="s">
        <v>535</v>
      </c>
    </row>
    <row r="107" customFormat="false" ht="114.75" hidden="false" customHeight="true" outlineLevel="0" collapsed="false">
      <c r="A107" s="5" t="s">
        <v>540</v>
      </c>
      <c r="B107" s="5" t="n">
        <v>65</v>
      </c>
      <c r="C107" s="5" t="s">
        <v>17</v>
      </c>
      <c r="D107" s="5" t="s">
        <v>17</v>
      </c>
      <c r="E107" s="5" t="s">
        <v>541</v>
      </c>
      <c r="F107" s="5" t="s">
        <v>542</v>
      </c>
      <c r="G107" s="5" t="s">
        <v>163</v>
      </c>
      <c r="H107" s="5" t="s">
        <v>543</v>
      </c>
      <c r="I107" s="5" t="s">
        <v>544</v>
      </c>
      <c r="J107" s="5" t="s">
        <v>545</v>
      </c>
      <c r="K107" s="10" t="s">
        <v>546</v>
      </c>
      <c r="L107" s="25" t="s">
        <v>547</v>
      </c>
      <c r="M107" s="10" t="s">
        <v>17</v>
      </c>
      <c r="N107" s="10" t="s">
        <v>17</v>
      </c>
      <c r="O107" s="10" t="s">
        <v>107</v>
      </c>
      <c r="P107" s="10" t="s">
        <v>26</v>
      </c>
    </row>
    <row r="108" customFormat="false" ht="114.75" hidden="false" customHeight="true" outlineLevel="0" collapsed="false">
      <c r="A108" s="5" t="s">
        <v>548</v>
      </c>
      <c r="B108" s="5" t="n">
        <v>66</v>
      </c>
      <c r="C108" s="5" t="s">
        <v>17</v>
      </c>
      <c r="D108" s="5" t="s">
        <v>17</v>
      </c>
      <c r="E108" s="5" t="n">
        <v>2026</v>
      </c>
      <c r="F108" s="5" t="s">
        <v>549</v>
      </c>
      <c r="G108" s="5" t="s">
        <v>163</v>
      </c>
      <c r="H108" s="5" t="s">
        <v>543</v>
      </c>
      <c r="I108" s="5" t="s">
        <v>550</v>
      </c>
      <c r="J108" s="5" t="s">
        <v>551</v>
      </c>
      <c r="K108" s="10" t="s">
        <v>552</v>
      </c>
      <c r="L108" s="25" t="s">
        <v>553</v>
      </c>
      <c r="M108" s="10" t="s">
        <v>17</v>
      </c>
      <c r="N108" s="10" t="s">
        <v>17</v>
      </c>
      <c r="O108" s="10" t="s">
        <v>107</v>
      </c>
      <c r="P108" s="10" t="s">
        <v>26</v>
      </c>
    </row>
    <row r="109" customFormat="false" ht="114.75" hidden="false" customHeight="true" outlineLevel="0" collapsed="false">
      <c r="A109" s="5" t="s">
        <v>548</v>
      </c>
      <c r="B109" s="5" t="n">
        <v>66</v>
      </c>
      <c r="C109" s="5" t="s">
        <v>554</v>
      </c>
      <c r="D109" s="5" t="s">
        <v>28</v>
      </c>
      <c r="E109" s="5" t="n">
        <v>2026</v>
      </c>
      <c r="F109" s="5" t="s">
        <v>549</v>
      </c>
      <c r="G109" s="5" t="s">
        <v>163</v>
      </c>
      <c r="H109" s="5" t="s">
        <v>66</v>
      </c>
      <c r="I109" s="5" t="s">
        <v>555</v>
      </c>
      <c r="J109" s="5" t="s">
        <v>556</v>
      </c>
      <c r="K109" s="10" t="s">
        <v>557</v>
      </c>
      <c r="L109" s="25" t="s">
        <v>553</v>
      </c>
      <c r="M109" s="10" t="n">
        <v>30000000</v>
      </c>
      <c r="N109" s="10" t="n">
        <v>19400</v>
      </c>
      <c r="O109" s="10" t="s">
        <v>119</v>
      </c>
      <c r="P109" s="10" t="s">
        <v>66</v>
      </c>
      <c r="W109" s="26"/>
      <c r="X109" s="26"/>
      <c r="Y109" s="26"/>
      <c r="Z109" s="26"/>
    </row>
    <row r="110" customFormat="false" ht="114.75" hidden="false" customHeight="true" outlineLevel="0" collapsed="false">
      <c r="A110" s="5" t="s">
        <v>548</v>
      </c>
      <c r="B110" s="5" t="n">
        <v>66</v>
      </c>
      <c r="C110" s="5" t="s">
        <v>558</v>
      </c>
      <c r="D110" s="5" t="s">
        <v>90</v>
      </c>
      <c r="E110" s="5" t="n">
        <v>2026</v>
      </c>
      <c r="F110" s="5" t="s">
        <v>542</v>
      </c>
      <c r="G110" s="5" t="s">
        <v>163</v>
      </c>
      <c r="H110" s="5" t="s">
        <v>186</v>
      </c>
      <c r="I110" s="5" t="s">
        <v>559</v>
      </c>
      <c r="J110" s="5" t="s">
        <v>560</v>
      </c>
      <c r="K110" s="10" t="s">
        <v>561</v>
      </c>
      <c r="L110" s="25" t="s">
        <v>562</v>
      </c>
      <c r="M110" s="10" t="n">
        <v>11000000</v>
      </c>
      <c r="N110" s="10" t="n">
        <v>7800</v>
      </c>
      <c r="O110" s="10" t="s">
        <v>44</v>
      </c>
      <c r="P110" s="10" t="s">
        <v>66</v>
      </c>
      <c r="W110" s="26"/>
      <c r="X110" s="26"/>
      <c r="Y110" s="26"/>
    </row>
    <row r="111" customFormat="false" ht="114.75" hidden="false" customHeight="true" outlineLevel="0" collapsed="false">
      <c r="A111" s="5" t="s">
        <v>563</v>
      </c>
      <c r="B111" s="5" t="n">
        <v>67</v>
      </c>
      <c r="C111" s="5" t="s">
        <v>17</v>
      </c>
      <c r="D111" s="5" t="s">
        <v>17</v>
      </c>
      <c r="E111" s="5" t="n">
        <v>2026</v>
      </c>
      <c r="F111" s="5" t="s">
        <v>542</v>
      </c>
      <c r="G111" s="5" t="s">
        <v>193</v>
      </c>
      <c r="H111" s="5" t="s">
        <v>543</v>
      </c>
      <c r="I111" s="5" t="s">
        <v>17</v>
      </c>
      <c r="J111" s="5" t="s">
        <v>564</v>
      </c>
      <c r="K111" s="10" t="s">
        <v>565</v>
      </c>
      <c r="L111" s="25" t="s">
        <v>566</v>
      </c>
      <c r="M111" s="10" t="s">
        <v>17</v>
      </c>
      <c r="N111" s="10" t="s">
        <v>17</v>
      </c>
      <c r="O111" s="10" t="s">
        <v>107</v>
      </c>
      <c r="P111" s="10" t="s">
        <v>26</v>
      </c>
      <c r="W111" s="26"/>
      <c r="X111" s="26"/>
      <c r="Y111" s="26"/>
      <c r="Z111" s="25"/>
    </row>
    <row r="112" customFormat="false" ht="114.75" hidden="false" customHeight="true" outlineLevel="0" collapsed="false">
      <c r="A112" s="5" t="s">
        <v>567</v>
      </c>
      <c r="B112" s="5" t="n">
        <v>68</v>
      </c>
      <c r="C112" s="5" t="s">
        <v>17</v>
      </c>
      <c r="D112" s="5" t="s">
        <v>17</v>
      </c>
      <c r="E112" s="5" t="n">
        <v>2026</v>
      </c>
      <c r="F112" s="5" t="s">
        <v>320</v>
      </c>
      <c r="G112" s="5" t="s">
        <v>238</v>
      </c>
      <c r="H112" s="5" t="s">
        <v>66</v>
      </c>
      <c r="I112" s="5" t="s">
        <v>568</v>
      </c>
      <c r="J112" s="5" t="s">
        <v>569</v>
      </c>
      <c r="K112" s="10" t="s">
        <v>570</v>
      </c>
      <c r="L112" s="25" t="s">
        <v>571</v>
      </c>
      <c r="M112" s="10" t="n">
        <v>800</v>
      </c>
      <c r="N112" s="10" t="n">
        <v>620</v>
      </c>
      <c r="O112" s="10" t="s">
        <v>286</v>
      </c>
      <c r="P112" s="10" t="s">
        <v>66</v>
      </c>
      <c r="W112" s="26"/>
      <c r="X112" s="26"/>
      <c r="Y112" s="26"/>
      <c r="Z112" s="25"/>
    </row>
    <row r="113" customFormat="false" ht="114.75" hidden="false" customHeight="true" outlineLevel="0" collapsed="false">
      <c r="A113" s="5" t="s">
        <v>345</v>
      </c>
      <c r="B113" s="5" t="n">
        <v>44</v>
      </c>
      <c r="C113" s="5" t="s">
        <v>17</v>
      </c>
      <c r="D113" s="5" t="s">
        <v>17</v>
      </c>
      <c r="E113" s="5" t="n">
        <v>2021</v>
      </c>
      <c r="F113" s="5" t="s">
        <v>347</v>
      </c>
      <c r="G113" s="5" t="s">
        <v>348</v>
      </c>
      <c r="H113" s="5" t="s">
        <v>59</v>
      </c>
      <c r="I113" s="5" t="s">
        <v>17</v>
      </c>
      <c r="J113" s="5" t="s">
        <v>572</v>
      </c>
      <c r="K113" s="7" t="s">
        <v>573</v>
      </c>
      <c r="L113" s="8"/>
      <c r="M113" s="10" t="s">
        <v>17</v>
      </c>
      <c r="N113" s="10" t="s">
        <v>17</v>
      </c>
      <c r="O113" s="10" t="s">
        <v>107</v>
      </c>
      <c r="P113" s="10" t="s">
        <v>59</v>
      </c>
      <c r="W113" s="26"/>
      <c r="X113" s="26"/>
      <c r="Y113" s="26"/>
      <c r="Z113" s="25"/>
    </row>
    <row r="114" customFormat="false" ht="114.75" hidden="false" customHeight="true" outlineLevel="0" collapsed="false">
      <c r="A114" s="5" t="s">
        <v>421</v>
      </c>
      <c r="B114" s="5" t="n">
        <v>52</v>
      </c>
      <c r="C114" s="5" t="s">
        <v>17</v>
      </c>
      <c r="D114" s="5" t="s">
        <v>17</v>
      </c>
      <c r="E114" s="5" t="n">
        <v>2016</v>
      </c>
      <c r="F114" s="5" t="s">
        <v>574</v>
      </c>
      <c r="G114" s="5" t="s">
        <v>73</v>
      </c>
      <c r="H114" s="5" t="s">
        <v>335</v>
      </c>
      <c r="I114" s="5" t="s">
        <v>17</v>
      </c>
      <c r="J114" s="5" t="s">
        <v>423</v>
      </c>
      <c r="K114" s="7" t="s">
        <v>575</v>
      </c>
      <c r="L114" s="14"/>
      <c r="M114" s="5" t="s">
        <v>17</v>
      </c>
      <c r="N114" s="5" t="s">
        <v>17</v>
      </c>
      <c r="O114" s="10" t="s">
        <v>107</v>
      </c>
      <c r="P114" s="10" t="s">
        <v>82</v>
      </c>
      <c r="W114" s="26"/>
      <c r="X114" s="26"/>
      <c r="Y114" s="26"/>
    </row>
    <row r="115" customFormat="false" ht="114.75" hidden="false" customHeight="true" outlineLevel="0" collapsed="false">
      <c r="A115" s="5" t="s">
        <v>406</v>
      </c>
      <c r="B115" s="5" t="n">
        <v>50</v>
      </c>
      <c r="C115" s="5" t="s">
        <v>17</v>
      </c>
      <c r="D115" s="5" t="s">
        <v>17</v>
      </c>
      <c r="E115" s="5" t="n">
        <v>2020</v>
      </c>
      <c r="F115" s="5" t="s">
        <v>576</v>
      </c>
      <c r="G115" s="5" t="s">
        <v>73</v>
      </c>
      <c r="H115" s="5" t="s">
        <v>79</v>
      </c>
      <c r="I115" s="5" t="s">
        <v>17</v>
      </c>
      <c r="J115" s="5" t="s">
        <v>221</v>
      </c>
      <c r="K115" s="7" t="s">
        <v>577</v>
      </c>
      <c r="L115" s="14" t="s">
        <v>411</v>
      </c>
      <c r="M115" s="5" t="s">
        <v>17</v>
      </c>
      <c r="N115" s="5" t="s">
        <v>17</v>
      </c>
      <c r="O115" s="10" t="s">
        <v>25</v>
      </c>
      <c r="P115" s="10" t="s">
        <v>82</v>
      </c>
      <c r="W115" s="26"/>
      <c r="X115" s="26"/>
      <c r="Y115" s="26"/>
      <c r="Z115" s="25"/>
    </row>
    <row r="1048576" customFormat="false" ht="114.75" hidden="false" customHeight="true" outlineLevel="0" collapsed="false"/>
  </sheetData>
  <hyperlinks>
    <hyperlink ref="L10" r:id="rId1" display="https://cset.georgetown.edu/wp-content/uploads/t0432_made_in_china_2025_EN.pdf?"/>
    <hyperlink ref="L13" r:id="rId2" display="https://m.bjnews.com.cn/detail/157201078715912.html?"/>
    <hyperlink ref="L14" r:id="rId3" display="https://english.www.gov.cn/news/202405/29/content_WS66569746c6d0868f4e8e7987.html?"/>
    <hyperlink ref="L16" r:id="rId4" display="https://www.winston.com/en/blogs-and-podcasts/global-trade-and-foreign-policy-insights/china-places-export-controls-on-raw-materials-used-in-semiconductor-manufacturing?"/>
    <hyperlink ref="L21" r:id="rId5" display="https://www.jetro.go.jp/ext_images/invest/ijre/report2022/; https://web-assets.bcg.com/25/6e/7a123efd40199020ed1b4114be84/emerging-resilience-in-the-semiconductor-supply-chain-r.pdf"/>
    <hyperlink ref="L22" r:id="rId6" display="https://www.jetro.go.jp/ext_images/invest/ijre/report2022/; https://web-assets.bcg.com/25/6e/7a123efd40199020ed1b4114be84/emerging-resilience-in-the-semiconductor-supply-chain-r.pdf"/>
    <hyperlink ref="L24" r:id="rId7" display="https://www.meti.go.jp/english/policy/0704_001.pdf; https://www.meti.go.jp/policy/mono_info_service/joho/post5g/pdf/20250207003.pdf?\"/>
    <hyperlink ref="L26" r:id="rId8" display="https://www.businesskorea.co.kr/news/articleView.html?idxno=48289;https://koreajoongangdaily.joins.com/2019/04/30/economy/Government-launches-plan-to-make-Korea-a-semiconductor-leader-by-2030/3062504.html"/>
    <hyperlink ref="L30" r:id="rId9" display="https://www.foi.se/rest-api/report/FOI%20Memo%208937"/>
    <hyperlink ref="L35" r:id="rId10" display="https://www.info.gouv.fr/upload/media/organization/0001/01/sites_default_files_contenu_piece-jointe_2022_07_22_-_dossier_de_presse_-_electronique_2030.pdf"/>
    <hyperlink ref="L64" r:id="rId11" display="https://www.lawplusltd.com/wp-content/uploads/kalins-pdf/singles/eastern-economic-corridor-act-b-e-2561-thailand.pdf?; https://incentives.eeco.or.th/en/benefit"/>
    <hyperlink ref="L66" r:id="rId12" display="https://osos.boi.go.th/download/BOI_PDF/BOI_A_Guide_2023_EN.pdf?"/>
    <hyperlink ref="L72" r:id="rId13" display="https://www.nist.gov/news-events/news/2023/11/chips-america-releases-vision-approximately-3-billion-national-advanced?"/>
    <hyperlink ref="L74" r:id="rId14" display="https://www.nist.gov/news-events/news/2024/05/jarvis-leaderboard-large-scale-benchmark-materials-design-methods?utm_source"/>
    <hyperlink ref="L75" r:id="rId15" display="https://www.nist.gov/news-events/news/2024/11/chips-america-announces-new-proposed-285-million-award-chips-manufacturing?"/>
    <hyperlink ref="L77" r:id="rId16" display="https://www.tomshardware.com/tech-industry/manufacturing/chinese-province-sets-up-dollar15-billion-chip-fund-to-boost-local-semiconductor-industry?"/>
    <hyperlink ref="L78" r:id="rId17" display="https://www.tomshardware.com/tech-industry/manufacturing/chinese-province-sets-up-dollar15-billion-chip-fund-to-boost-local-semiconductor-industry?"/>
    <hyperlink ref="L80" r:id="rId18" display="https://startup.aliyun.com/info/1092847.html?"/>
    <hyperlink ref="L81" r:id="rId19" display="https://startup.aliyun.com/info/1092847.html?"/>
    <hyperlink ref="L82" r:id="rId20" display="https://startup.aliyun.com/info/1092847.html?"/>
    <hyperlink ref="L83" r:id="rId21" display="https://www.cls.cn/detail/1797798?"/>
    <hyperlink ref="L84" r:id="rId22" display="https://www.cls.cn/detail/1797798?"/>
    <hyperlink ref="L87" r:id="rId23" display="https://www.hoganlovells.com/en/publications/japans-new-chip-equipment-export-rules-take-effect"/>
    <hyperlink ref="L98" r:id="rId24" display="https://globaltradealert.org/state-act/62404-republic-of-korea-government-publishes-national-strategy-for-artificial-intelligence?"/>
    <hyperlink ref="L100" r:id="rId25" display="https://www5.cao.go.jp/keizai1/keizaitaisaku/2021/20211119_economic_measures_all.pdf; https://www5.cao.go.jp/keizai1/keizaitaisaku/2021/20211119_economic_measures_all.pdf"/>
    <hyperlink ref="L102" r:id="rId26" display="https://www.mk.co.kr/en/economy/11493849; https://www.chosun.com/english/market-money-en/2025/12/11/25QXCJ2Q4NCINOC5EXP6SR3QYQ/"/>
    <hyperlink ref="L106" r:id="rId27" display="https://www.korea.net/Government/Briefing-Room/Press-Releases/view?articleId=8026;https://outlook.stpi.niar.org.tw/index/news/4b11410096d362580196e5fec2d535c1?"/>
    <hyperlink ref="L108" r:id="rId28" display="https://www.motir.go.kr/kor/article/ATCL3c536e4ec/79798/view"/>
    <hyperlink ref="L109" r:id="rId29" display="https://www.motir.go.kr/kor/article/ATCL3c536e4ec/79798/view"/>
    <hyperlink ref="L110" r:id="rId30" display="https://www.reuters.com/world/asia-pacific/south-koreas-lee-wants-military-airbase-relocated-by-mid-2028-chip-cluster-2026-08-10/"/>
    <hyperlink ref="L111" r:id="rId31" display="https://digital-strategy.ec.europa.eu/en/policies/chips-act-2"/>
    <hyperlink ref="L112" r:id="rId32" display="https://www.edb.gov.sg/en/business-insights/insights/budget-2026-singapore-commits-s800-million-to-semiconductor-research-and-development-to-deepen-high-impact-tech-capabilities.html"/>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09"/>
  <sheetViews>
    <sheetView showFormulas="false" showGridLines="false" showRowColHeaders="true" showZeros="true" rightToLeft="false" tabSelected="true" showOutlineSymbols="true" defaultGridColor="true" view="normal" topLeftCell="A1" colorId="64" zoomScale="84" zoomScaleNormal="84" zoomScalePageLayoutView="100" workbookViewId="0">
      <selection pane="topLeft" activeCell="E5" activeCellId="0" sqref="E5"/>
    </sheetView>
  </sheetViews>
  <sheetFormatPr defaultColWidth="10.62890625" defaultRowHeight="15.75" zeroHeight="false" outlineLevelRow="0" outlineLevelCol="0"/>
  <cols>
    <col collapsed="false" customWidth="true" hidden="false" outlineLevel="0" max="1" min="1" style="1" width="30"/>
    <col collapsed="false" customWidth="true" hidden="false" outlineLevel="0" max="2" min="2" style="1" width="13.88"/>
    <col collapsed="false" customWidth="true" hidden="false" outlineLevel="0" max="3" min="3" style="1" width="49.63"/>
    <col collapsed="false" customWidth="true" hidden="false" outlineLevel="0" max="4" min="4" style="1" width="13.88"/>
    <col collapsed="false" customWidth="true" hidden="false" outlineLevel="0" max="5" min="5" style="1" width="32.5"/>
    <col collapsed="false" customWidth="true" hidden="false" outlineLevel="0" max="6" min="6" style="1" width="19.88"/>
    <col collapsed="false" customWidth="true" hidden="false" outlineLevel="0" max="8" min="7" style="1" width="20.88"/>
    <col collapsed="false" customWidth="true" hidden="false" outlineLevel="0" max="10" min="10" style="1" width="14.5"/>
    <col collapsed="false" customWidth="true" hidden="false" outlineLevel="0" max="11" min="11" style="1" width="25.5"/>
    <col collapsed="false" customWidth="true" hidden="false" outlineLevel="0" max="12" min="12" style="1" width="42.51"/>
    <col collapsed="false" customWidth="true" hidden="false" outlineLevel="0" max="13" min="13" style="1" width="32.63"/>
    <col collapsed="false" customWidth="true" hidden="false" outlineLevel="0" max="14" min="14" style="1" width="91.12"/>
  </cols>
  <sheetData>
    <row r="1" customFormat="false" ht="39.75" hidden="false" customHeight="true" outlineLevel="0" collapsed="false">
      <c r="A1" s="3" t="s">
        <v>0</v>
      </c>
      <c r="B1" s="3" t="s">
        <v>1</v>
      </c>
      <c r="C1" s="3" t="s">
        <v>2</v>
      </c>
      <c r="D1" s="3" t="s">
        <v>3</v>
      </c>
      <c r="E1" s="3" t="s">
        <v>578</v>
      </c>
      <c r="F1" s="3" t="s">
        <v>579</v>
      </c>
      <c r="G1" s="3" t="s">
        <v>4</v>
      </c>
      <c r="H1" s="3" t="s">
        <v>5</v>
      </c>
      <c r="I1" s="3" t="s">
        <v>580</v>
      </c>
      <c r="J1" s="3" t="s">
        <v>7</v>
      </c>
      <c r="K1" s="3" t="s">
        <v>8</v>
      </c>
      <c r="L1" s="3" t="s">
        <v>9</v>
      </c>
      <c r="M1" s="3" t="s">
        <v>10</v>
      </c>
      <c r="N1" s="3" t="s">
        <v>11</v>
      </c>
      <c r="O1" s="9" t="s">
        <v>12</v>
      </c>
      <c r="P1" s="9" t="s">
        <v>581</v>
      </c>
      <c r="Q1" s="3" t="s">
        <v>15</v>
      </c>
    </row>
    <row r="2" customFormat="false" ht="39.75" hidden="false" customHeight="true" outlineLevel="0" collapsed="false">
      <c r="A2" s="5" t="s">
        <v>191</v>
      </c>
      <c r="B2" s="5" t="n">
        <v>25</v>
      </c>
      <c r="C2" s="5" t="s">
        <v>17</v>
      </c>
      <c r="D2" s="5" t="s">
        <v>17</v>
      </c>
      <c r="E2" s="5" t="s">
        <v>582</v>
      </c>
      <c r="F2" s="5" t="n">
        <v>1</v>
      </c>
      <c r="G2" s="5" t="n">
        <v>2023</v>
      </c>
      <c r="H2" s="5" t="s">
        <v>175</v>
      </c>
      <c r="I2" s="5" t="s">
        <v>583</v>
      </c>
      <c r="J2" s="5" t="s">
        <v>66</v>
      </c>
      <c r="K2" s="5" t="s">
        <v>584</v>
      </c>
      <c r="L2" s="5" t="s">
        <v>25</v>
      </c>
      <c r="M2" s="5" t="s">
        <v>585</v>
      </c>
      <c r="N2" s="5" t="s">
        <v>586</v>
      </c>
      <c r="O2" s="9" t="n">
        <v>0</v>
      </c>
      <c r="P2" s="9" t="n">
        <v>0</v>
      </c>
      <c r="Q2" s="9" t="s">
        <v>25</v>
      </c>
    </row>
    <row r="3" customFormat="false" ht="39.75" hidden="false" customHeight="true" outlineLevel="0" collapsed="false">
      <c r="A3" s="5" t="s">
        <v>191</v>
      </c>
      <c r="B3" s="5" t="n">
        <v>25</v>
      </c>
      <c r="C3" s="5" t="s">
        <v>17</v>
      </c>
      <c r="D3" s="5" t="s">
        <v>17</v>
      </c>
      <c r="E3" s="5" t="s">
        <v>587</v>
      </c>
      <c r="F3" s="5" t="n">
        <v>2</v>
      </c>
      <c r="G3" s="5" t="n">
        <v>2023</v>
      </c>
      <c r="H3" s="5" t="s">
        <v>18</v>
      </c>
      <c r="I3" s="5" t="s">
        <v>583</v>
      </c>
      <c r="J3" s="5" t="s">
        <v>66</v>
      </c>
      <c r="K3" s="5" t="s">
        <v>588</v>
      </c>
      <c r="L3" s="5" t="s">
        <v>25</v>
      </c>
      <c r="M3" s="5" t="s">
        <v>589</v>
      </c>
      <c r="N3" s="5" t="s">
        <v>590</v>
      </c>
      <c r="O3" s="9" t="n">
        <v>5000</v>
      </c>
      <c r="P3" s="9" t="n">
        <v>5850</v>
      </c>
      <c r="Q3" s="9" t="s">
        <v>25</v>
      </c>
    </row>
    <row r="4" customFormat="false" ht="39.75" hidden="false" customHeight="true" outlineLevel="0" collapsed="false">
      <c r="A4" s="5" t="s">
        <v>191</v>
      </c>
      <c r="B4" s="5" t="n">
        <v>25</v>
      </c>
      <c r="C4" s="5" t="s">
        <v>17</v>
      </c>
      <c r="D4" s="5" t="s">
        <v>17</v>
      </c>
      <c r="E4" s="5" t="s">
        <v>591</v>
      </c>
      <c r="F4" s="5" t="n">
        <v>3</v>
      </c>
      <c r="G4" s="5" t="n">
        <v>2024</v>
      </c>
      <c r="H4" s="5" t="s">
        <v>592</v>
      </c>
      <c r="I4" s="5" t="s">
        <v>593</v>
      </c>
      <c r="J4" s="5" t="s">
        <v>66</v>
      </c>
      <c r="K4" s="5" t="s">
        <v>594</v>
      </c>
      <c r="L4" s="5" t="s">
        <v>25</v>
      </c>
      <c r="M4" s="5" t="s">
        <v>595</v>
      </c>
      <c r="N4" s="5" t="s">
        <v>596</v>
      </c>
      <c r="O4" s="9" t="n">
        <v>2000</v>
      </c>
      <c r="P4" s="9" t="n">
        <v>2340</v>
      </c>
      <c r="Q4" s="9" t="s">
        <v>25</v>
      </c>
    </row>
    <row r="5" customFormat="false" ht="39.75" hidden="false" customHeight="true" outlineLevel="0" collapsed="false">
      <c r="A5" s="10" t="s">
        <v>138</v>
      </c>
      <c r="B5" s="10" t="n">
        <v>15</v>
      </c>
      <c r="C5" s="10" t="s">
        <v>144</v>
      </c>
      <c r="D5" s="10" t="s">
        <v>28</v>
      </c>
      <c r="E5" s="5" t="s">
        <v>597</v>
      </c>
      <c r="F5" s="5" t="n">
        <v>1</v>
      </c>
      <c r="G5" s="5" t="n">
        <v>2021</v>
      </c>
      <c r="H5" s="5" t="s">
        <v>598</v>
      </c>
      <c r="I5" s="5" t="s">
        <v>128</v>
      </c>
      <c r="J5" s="5" t="s">
        <v>66</v>
      </c>
      <c r="K5" s="27" t="s">
        <v>599</v>
      </c>
      <c r="L5" s="27" t="s">
        <v>25</v>
      </c>
      <c r="M5" s="5" t="s">
        <v>600</v>
      </c>
      <c r="N5" s="5" t="s">
        <v>601</v>
      </c>
      <c r="O5" s="9" t="n">
        <v>3200</v>
      </c>
      <c r="P5" s="9" t="n">
        <v>3200</v>
      </c>
      <c r="Q5" s="9" t="s">
        <v>25</v>
      </c>
    </row>
    <row r="6" customFormat="false" ht="39.75" hidden="false" customHeight="true" outlineLevel="0" collapsed="false">
      <c r="A6" s="10" t="s">
        <v>138</v>
      </c>
      <c r="B6" s="10" t="n">
        <v>15</v>
      </c>
      <c r="C6" s="10" t="s">
        <v>144</v>
      </c>
      <c r="D6" s="10" t="s">
        <v>28</v>
      </c>
      <c r="E6" s="5" t="s">
        <v>602</v>
      </c>
      <c r="F6" s="5" t="n">
        <v>2</v>
      </c>
      <c r="G6" s="5" t="n">
        <v>2024</v>
      </c>
      <c r="H6" s="5" t="s">
        <v>528</v>
      </c>
      <c r="I6" s="5" t="s">
        <v>128</v>
      </c>
      <c r="J6" s="5" t="s">
        <v>66</v>
      </c>
      <c r="K6" s="27" t="s">
        <v>603</v>
      </c>
      <c r="L6" s="27" t="s">
        <v>25</v>
      </c>
      <c r="M6" s="5" t="s">
        <v>604</v>
      </c>
      <c r="N6" s="5" t="s">
        <v>605</v>
      </c>
      <c r="O6" s="9" t="n">
        <v>4990</v>
      </c>
      <c r="P6" s="9" t="n">
        <v>4990</v>
      </c>
      <c r="Q6" s="9" t="s">
        <v>25</v>
      </c>
    </row>
    <row r="7" customFormat="false" ht="39.75" hidden="false" customHeight="true" outlineLevel="0" collapsed="false">
      <c r="A7" s="10" t="s">
        <v>138</v>
      </c>
      <c r="B7" s="10" t="n">
        <v>15</v>
      </c>
      <c r="C7" s="10" t="s">
        <v>144</v>
      </c>
      <c r="D7" s="10" t="s">
        <v>28</v>
      </c>
      <c r="E7" s="5" t="s">
        <v>606</v>
      </c>
      <c r="F7" s="5" t="n">
        <v>3</v>
      </c>
      <c r="G7" s="5" t="n">
        <v>2025</v>
      </c>
      <c r="H7" s="5" t="s">
        <v>528</v>
      </c>
      <c r="I7" s="5" t="s">
        <v>128</v>
      </c>
      <c r="J7" s="5" t="s">
        <v>66</v>
      </c>
      <c r="K7" s="27" t="s">
        <v>607</v>
      </c>
      <c r="L7" s="27" t="s">
        <v>68</v>
      </c>
      <c r="M7" s="5" t="s">
        <v>608</v>
      </c>
      <c r="N7" s="28" t="s">
        <v>609</v>
      </c>
      <c r="O7" s="9" t="n">
        <v>3630</v>
      </c>
      <c r="P7" s="9" t="n">
        <v>3630</v>
      </c>
      <c r="Q7" s="9" t="s">
        <v>25</v>
      </c>
    </row>
    <row r="8" customFormat="false" ht="39.75" hidden="false" customHeight="true" outlineLevel="0" collapsed="false">
      <c r="A8" s="10" t="s">
        <v>138</v>
      </c>
      <c r="B8" s="10" t="n">
        <v>15</v>
      </c>
      <c r="C8" s="10" t="s">
        <v>153</v>
      </c>
      <c r="D8" s="10" t="s">
        <v>90</v>
      </c>
      <c r="E8" s="5" t="s">
        <v>610</v>
      </c>
      <c r="F8" s="5" t="n">
        <v>1</v>
      </c>
      <c r="G8" s="5" t="n">
        <v>2025</v>
      </c>
      <c r="H8" s="5" t="s">
        <v>528</v>
      </c>
      <c r="I8" s="5" t="s">
        <v>128</v>
      </c>
      <c r="J8" s="5" t="s">
        <v>611</v>
      </c>
      <c r="K8" s="27" t="s">
        <v>612</v>
      </c>
      <c r="L8" s="27" t="s">
        <v>468</v>
      </c>
      <c r="M8" s="5" t="s">
        <v>613</v>
      </c>
      <c r="N8" s="5" t="s">
        <v>614</v>
      </c>
      <c r="O8" s="9" t="n">
        <v>802500</v>
      </c>
      <c r="P8" s="9" t="n">
        <v>5055.75</v>
      </c>
      <c r="Q8" s="9" t="s">
        <v>25</v>
      </c>
    </row>
    <row r="9" customFormat="false" ht="39.75" hidden="false" customHeight="true" outlineLevel="0" collapsed="false">
      <c r="A9" s="5" t="s">
        <v>327</v>
      </c>
      <c r="B9" s="5" t="n">
        <v>41</v>
      </c>
      <c r="C9" s="5" t="s">
        <v>17</v>
      </c>
      <c r="D9" s="5" t="s">
        <v>17</v>
      </c>
      <c r="E9" s="5" t="s">
        <v>615</v>
      </c>
      <c r="F9" s="5" t="n">
        <v>1</v>
      </c>
      <c r="G9" s="5" t="n">
        <v>2025</v>
      </c>
      <c r="H9" s="5" t="s">
        <v>284</v>
      </c>
      <c r="I9" s="5" t="s">
        <v>278</v>
      </c>
      <c r="J9" s="5" t="s">
        <v>535</v>
      </c>
      <c r="K9" s="27" t="s">
        <v>616</v>
      </c>
      <c r="L9" s="27" t="s">
        <v>44</v>
      </c>
      <c r="M9" s="5" t="s">
        <v>617</v>
      </c>
      <c r="N9" s="28" t="s">
        <v>618</v>
      </c>
      <c r="O9" s="9" t="n">
        <v>250</v>
      </c>
      <c r="P9" s="9" t="n">
        <v>62.5</v>
      </c>
      <c r="Q9" s="9" t="s">
        <v>44</v>
      </c>
    </row>
    <row r="10" customFormat="false" ht="39.75" hidden="false" customHeight="true" outlineLevel="0" collapsed="false">
      <c r="A10" s="5" t="s">
        <v>16</v>
      </c>
      <c r="B10" s="5" t="n">
        <v>1</v>
      </c>
      <c r="C10" s="5" t="s">
        <v>389</v>
      </c>
      <c r="D10" s="5" t="s">
        <v>96</v>
      </c>
      <c r="E10" s="5" t="s">
        <v>619</v>
      </c>
      <c r="F10" s="5" t="n">
        <v>1</v>
      </c>
      <c r="G10" s="5" t="n">
        <v>2024</v>
      </c>
      <c r="H10" s="5" t="s">
        <v>620</v>
      </c>
      <c r="I10" s="5" t="s">
        <v>19</v>
      </c>
      <c r="J10" s="5" t="s">
        <v>66</v>
      </c>
      <c r="K10" s="27" t="s">
        <v>621</v>
      </c>
      <c r="L10" s="27" t="s">
        <v>622</v>
      </c>
      <c r="M10" s="5" t="s">
        <v>623</v>
      </c>
      <c r="N10" s="5" t="s">
        <v>624</v>
      </c>
      <c r="O10" s="9" t="n">
        <v>825</v>
      </c>
      <c r="P10" s="9" t="n">
        <v>825</v>
      </c>
      <c r="Q10" s="9" t="s">
        <v>38</v>
      </c>
    </row>
    <row r="11" customFormat="false" ht="39.75" hidden="false" customHeight="true" outlineLevel="0" collapsed="false">
      <c r="A11" s="5" t="s">
        <v>16</v>
      </c>
      <c r="B11" s="5" t="n">
        <v>1</v>
      </c>
      <c r="C11" s="5" t="s">
        <v>389</v>
      </c>
      <c r="D11" s="5" t="s">
        <v>96</v>
      </c>
      <c r="E11" s="5" t="s">
        <v>625</v>
      </c>
      <c r="F11" s="5" t="n">
        <v>2</v>
      </c>
      <c r="G11" s="5" t="n">
        <v>2024</v>
      </c>
      <c r="H11" s="5" t="s">
        <v>528</v>
      </c>
      <c r="I11" s="5" t="s">
        <v>19</v>
      </c>
      <c r="J11" s="5" t="s">
        <v>66</v>
      </c>
      <c r="K11" s="27" t="s">
        <v>390</v>
      </c>
      <c r="L11" s="27" t="s">
        <v>626</v>
      </c>
      <c r="M11" s="5" t="s">
        <v>627</v>
      </c>
      <c r="N11" s="28" t="s">
        <v>628</v>
      </c>
      <c r="O11" s="9" t="n">
        <v>6300</v>
      </c>
      <c r="P11" s="9" t="n">
        <v>6300</v>
      </c>
      <c r="Q11" s="9" t="s">
        <v>119</v>
      </c>
    </row>
    <row r="12" customFormat="false" ht="39.75" hidden="false" customHeight="true" outlineLevel="0" collapsed="false">
      <c r="A12" s="5" t="s">
        <v>16</v>
      </c>
      <c r="B12" s="5" t="n">
        <v>1</v>
      </c>
      <c r="C12" s="5" t="s">
        <v>384</v>
      </c>
      <c r="D12" s="5" t="s">
        <v>90</v>
      </c>
      <c r="E12" s="5" t="s">
        <v>629</v>
      </c>
      <c r="F12" s="5" t="n">
        <v>1</v>
      </c>
      <c r="G12" s="5" t="n">
        <v>2024</v>
      </c>
      <c r="H12" s="5" t="s">
        <v>620</v>
      </c>
      <c r="I12" s="5" t="s">
        <v>19</v>
      </c>
      <c r="J12" s="5" t="s">
        <v>66</v>
      </c>
      <c r="K12" s="27" t="s">
        <v>630</v>
      </c>
      <c r="L12" s="27" t="s">
        <v>386</v>
      </c>
      <c r="M12" s="5" t="s">
        <v>631</v>
      </c>
      <c r="N12" s="5" t="s">
        <v>632</v>
      </c>
      <c r="O12" s="9" t="n">
        <v>1100</v>
      </c>
      <c r="P12" s="9" t="n">
        <v>1100</v>
      </c>
      <c r="Q12" s="9" t="s">
        <v>286</v>
      </c>
    </row>
    <row r="13" customFormat="false" ht="39.75" hidden="false" customHeight="true" outlineLevel="0" collapsed="false">
      <c r="A13" s="5" t="s">
        <v>16</v>
      </c>
      <c r="B13" s="5" t="n">
        <v>1</v>
      </c>
      <c r="C13" s="5" t="s">
        <v>384</v>
      </c>
      <c r="D13" s="5" t="s">
        <v>90</v>
      </c>
      <c r="E13" s="5" t="s">
        <v>633</v>
      </c>
      <c r="F13" s="5" t="n">
        <v>2</v>
      </c>
      <c r="G13" s="5" t="n">
        <v>2024</v>
      </c>
      <c r="H13" s="5" t="s">
        <v>289</v>
      </c>
      <c r="I13" s="5" t="s">
        <v>19</v>
      </c>
      <c r="J13" s="5" t="s">
        <v>535</v>
      </c>
      <c r="K13" s="27" t="s">
        <v>634</v>
      </c>
      <c r="L13" s="27" t="s">
        <v>119</v>
      </c>
      <c r="M13" s="5" t="s">
        <v>635</v>
      </c>
      <c r="N13" s="5" t="s">
        <v>636</v>
      </c>
      <c r="O13" s="9" t="n">
        <v>300</v>
      </c>
      <c r="P13" s="9" t="n">
        <v>300</v>
      </c>
      <c r="Q13" s="9" t="s">
        <v>119</v>
      </c>
    </row>
    <row r="14" customFormat="false" ht="39.75" hidden="false" customHeight="true" outlineLevel="0" collapsed="false">
      <c r="A14" s="5" t="s">
        <v>16</v>
      </c>
      <c r="B14" s="5" t="n">
        <v>1</v>
      </c>
      <c r="C14" s="5" t="str">
        <f aca="false">'Project Sheet'!C75</f>
        <v>CHIPS Manufacturing USA Institute</v>
      </c>
      <c r="D14" s="5" t="str">
        <f aca="false">'Project Sheet'!D75</f>
        <v>5</v>
      </c>
      <c r="E14" s="5" t="s">
        <v>637</v>
      </c>
      <c r="F14" s="5" t="n">
        <v>1</v>
      </c>
      <c r="G14" s="5" t="n">
        <v>2024</v>
      </c>
      <c r="H14" s="5" t="s">
        <v>638</v>
      </c>
      <c r="I14" s="5" t="s">
        <v>19</v>
      </c>
      <c r="J14" s="5" t="s">
        <v>535</v>
      </c>
      <c r="K14" s="27" t="s">
        <v>398</v>
      </c>
      <c r="L14" s="27" t="s">
        <v>639</v>
      </c>
      <c r="M14" s="5" t="s">
        <v>640</v>
      </c>
      <c r="N14" s="28" t="s">
        <v>641</v>
      </c>
      <c r="O14" s="9" t="n">
        <v>285</v>
      </c>
      <c r="P14" s="9" t="n">
        <v>285</v>
      </c>
      <c r="Q14" s="9" t="s">
        <v>286</v>
      </c>
    </row>
    <row r="15" customFormat="false" ht="39.75" hidden="false" customHeight="true" outlineLevel="0" collapsed="false">
      <c r="A15" s="10" t="s">
        <v>16</v>
      </c>
      <c r="B15" s="10" t="n">
        <v>1</v>
      </c>
      <c r="C15" s="10" t="s">
        <v>446</v>
      </c>
      <c r="D15" s="10" t="s">
        <v>307</v>
      </c>
      <c r="E15" s="5" t="s">
        <v>642</v>
      </c>
      <c r="F15" s="5" t="n">
        <v>1</v>
      </c>
      <c r="G15" s="10" t="n">
        <v>2024</v>
      </c>
      <c r="H15" s="5" t="s">
        <v>643</v>
      </c>
      <c r="I15" s="5" t="s">
        <v>19</v>
      </c>
      <c r="J15" s="5" t="s">
        <v>66</v>
      </c>
      <c r="K15" s="27" t="s">
        <v>644</v>
      </c>
      <c r="L15" s="27" t="s">
        <v>25</v>
      </c>
      <c r="M15" s="5" t="s">
        <v>645</v>
      </c>
      <c r="N15" s="5" t="s">
        <v>646</v>
      </c>
      <c r="O15" s="9" t="n">
        <v>1450</v>
      </c>
      <c r="P15" s="9" t="n">
        <v>1450</v>
      </c>
      <c r="Q15" s="9" t="s">
        <v>25</v>
      </c>
    </row>
    <row r="16" customFormat="false" ht="39.75" hidden="false" customHeight="true" outlineLevel="0" collapsed="false">
      <c r="A16" s="5" t="s">
        <v>16</v>
      </c>
      <c r="B16" s="5" t="n">
        <v>1</v>
      </c>
      <c r="C16" s="5" t="s">
        <v>446</v>
      </c>
      <c r="D16" s="5" t="s">
        <v>307</v>
      </c>
      <c r="E16" s="5" t="s">
        <v>647</v>
      </c>
      <c r="F16" s="5" t="n">
        <v>3</v>
      </c>
      <c r="G16" s="5" t="n">
        <v>2024</v>
      </c>
      <c r="H16" s="5" t="s">
        <v>643</v>
      </c>
      <c r="I16" s="5" t="s">
        <v>19</v>
      </c>
      <c r="J16" s="5" t="s">
        <v>66</v>
      </c>
      <c r="K16" s="5" t="s">
        <v>648</v>
      </c>
      <c r="L16" s="5" t="s">
        <v>649</v>
      </c>
      <c r="M16" s="5" t="s">
        <v>650</v>
      </c>
      <c r="N16" s="5" t="s">
        <v>646</v>
      </c>
      <c r="O16" s="9" t="n">
        <v>93</v>
      </c>
      <c r="P16" s="9" t="n">
        <v>93</v>
      </c>
      <c r="Q16" s="9" t="s">
        <v>25</v>
      </c>
    </row>
    <row r="17" customFormat="false" ht="39.75" hidden="false" customHeight="true" outlineLevel="0" collapsed="false">
      <c r="A17" s="5" t="s">
        <v>16</v>
      </c>
      <c r="B17" s="5" t="n">
        <v>1</v>
      </c>
      <c r="C17" s="5" t="s">
        <v>446</v>
      </c>
      <c r="D17" s="5" t="s">
        <v>307</v>
      </c>
      <c r="E17" s="5" t="s">
        <v>651</v>
      </c>
      <c r="F17" s="5" t="n">
        <v>4</v>
      </c>
      <c r="G17" s="5" t="n">
        <v>2024</v>
      </c>
      <c r="H17" s="5" t="s">
        <v>652</v>
      </c>
      <c r="I17" s="5" t="s">
        <v>19</v>
      </c>
      <c r="J17" s="5" t="s">
        <v>66</v>
      </c>
      <c r="K17" s="5" t="s">
        <v>653</v>
      </c>
      <c r="L17" s="5" t="s">
        <v>38</v>
      </c>
      <c r="M17" s="5" t="s">
        <v>654</v>
      </c>
      <c r="N17" s="5" t="s">
        <v>646</v>
      </c>
      <c r="O17" s="9" t="n">
        <v>18</v>
      </c>
      <c r="P17" s="9" t="n">
        <v>18</v>
      </c>
      <c r="Q17" s="9" t="s">
        <v>38</v>
      </c>
    </row>
    <row r="18" customFormat="false" ht="39.75" hidden="false" customHeight="true" outlineLevel="0" collapsed="false">
      <c r="A18" s="5" t="s">
        <v>16</v>
      </c>
      <c r="B18" s="5" t="n">
        <v>1</v>
      </c>
      <c r="C18" s="5" t="s">
        <v>446</v>
      </c>
      <c r="D18" s="5" t="s">
        <v>307</v>
      </c>
      <c r="E18" s="5" t="s">
        <v>655</v>
      </c>
      <c r="F18" s="5" t="n">
        <v>5</v>
      </c>
      <c r="G18" s="5" t="n">
        <v>2024</v>
      </c>
      <c r="H18" s="5" t="s">
        <v>656</v>
      </c>
      <c r="I18" s="5" t="s">
        <v>19</v>
      </c>
      <c r="J18" s="5" t="s">
        <v>66</v>
      </c>
      <c r="K18" s="5" t="s">
        <v>657</v>
      </c>
      <c r="L18" s="5" t="s">
        <v>25</v>
      </c>
      <c r="M18" s="5" t="s">
        <v>658</v>
      </c>
      <c r="N18" s="5" t="s">
        <v>646</v>
      </c>
      <c r="O18" s="9" t="n">
        <v>125</v>
      </c>
      <c r="P18" s="9" t="n">
        <v>125</v>
      </c>
      <c r="Q18" s="9" t="s">
        <v>25</v>
      </c>
    </row>
    <row r="19" customFormat="false" ht="39.75" hidden="false" customHeight="true" outlineLevel="0" collapsed="false">
      <c r="A19" s="5" t="s">
        <v>16</v>
      </c>
      <c r="B19" s="5" t="n">
        <v>1</v>
      </c>
      <c r="C19" s="5" t="s">
        <v>446</v>
      </c>
      <c r="D19" s="5" t="s">
        <v>307</v>
      </c>
      <c r="E19" s="5" t="s">
        <v>659</v>
      </c>
      <c r="F19" s="5" t="n">
        <v>6</v>
      </c>
      <c r="G19" s="5" t="n">
        <v>2024</v>
      </c>
      <c r="H19" s="5" t="s">
        <v>656</v>
      </c>
      <c r="I19" s="5" t="s">
        <v>19</v>
      </c>
      <c r="J19" s="5" t="s">
        <v>66</v>
      </c>
      <c r="K19" s="5" t="s">
        <v>648</v>
      </c>
      <c r="L19" s="5" t="s">
        <v>649</v>
      </c>
      <c r="M19" s="5" t="s">
        <v>660</v>
      </c>
      <c r="N19" s="5" t="s">
        <v>646</v>
      </c>
      <c r="O19" s="9" t="n">
        <v>93</v>
      </c>
      <c r="P19" s="9" t="n">
        <v>93</v>
      </c>
      <c r="Q19" s="9" t="s">
        <v>25</v>
      </c>
    </row>
    <row r="20" customFormat="false" ht="39.75" hidden="false" customHeight="true" outlineLevel="0" collapsed="false">
      <c r="A20" s="5" t="s">
        <v>16</v>
      </c>
      <c r="B20" s="5" t="n">
        <v>1</v>
      </c>
      <c r="C20" s="5" t="s">
        <v>446</v>
      </c>
      <c r="D20" s="5" t="s">
        <v>307</v>
      </c>
      <c r="E20" s="5" t="s">
        <v>661</v>
      </c>
      <c r="F20" s="5" t="n">
        <v>7</v>
      </c>
      <c r="G20" s="5" t="n">
        <v>2024</v>
      </c>
      <c r="H20" s="5" t="s">
        <v>97</v>
      </c>
      <c r="I20" s="5" t="s">
        <v>19</v>
      </c>
      <c r="J20" s="5" t="s">
        <v>66</v>
      </c>
      <c r="K20" s="5" t="s">
        <v>662</v>
      </c>
      <c r="L20" s="5" t="s">
        <v>110</v>
      </c>
      <c r="M20" s="5" t="s">
        <v>663</v>
      </c>
      <c r="N20" s="5" t="s">
        <v>646</v>
      </c>
      <c r="O20" s="9" t="n">
        <v>32</v>
      </c>
      <c r="P20" s="9" t="n">
        <v>32</v>
      </c>
      <c r="Q20" s="9" t="s">
        <v>110</v>
      </c>
    </row>
    <row r="21" customFormat="false" ht="39.75" hidden="false" customHeight="true" outlineLevel="0" collapsed="false">
      <c r="A21" s="5" t="s">
        <v>16</v>
      </c>
      <c r="B21" s="5" t="n">
        <v>1</v>
      </c>
      <c r="C21" s="5" t="s">
        <v>446</v>
      </c>
      <c r="D21" s="5" t="s">
        <v>307</v>
      </c>
      <c r="E21" s="5" t="s">
        <v>664</v>
      </c>
      <c r="F21" s="5" t="n">
        <v>8</v>
      </c>
      <c r="G21" s="5" t="n">
        <v>2024</v>
      </c>
      <c r="H21" s="5" t="s">
        <v>665</v>
      </c>
      <c r="I21" s="5" t="s">
        <v>19</v>
      </c>
      <c r="J21" s="5" t="s">
        <v>66</v>
      </c>
      <c r="K21" s="5" t="s">
        <v>666</v>
      </c>
      <c r="L21" s="5" t="s">
        <v>25</v>
      </c>
      <c r="M21" s="5" t="s">
        <v>667</v>
      </c>
      <c r="N21" s="5" t="s">
        <v>646</v>
      </c>
      <c r="O21" s="9" t="n">
        <v>700</v>
      </c>
      <c r="P21" s="9" t="n">
        <v>700</v>
      </c>
      <c r="Q21" s="9" t="s">
        <v>25</v>
      </c>
    </row>
    <row r="22" customFormat="false" ht="39.75" hidden="false" customHeight="true" outlineLevel="0" collapsed="false">
      <c r="A22" s="5" t="s">
        <v>16</v>
      </c>
      <c r="B22" s="5" t="n">
        <v>1</v>
      </c>
      <c r="C22" s="5" t="s">
        <v>446</v>
      </c>
      <c r="D22" s="5" t="s">
        <v>307</v>
      </c>
      <c r="E22" s="5" t="s">
        <v>668</v>
      </c>
      <c r="F22" s="5" t="n">
        <v>9</v>
      </c>
      <c r="G22" s="5" t="n">
        <v>2024</v>
      </c>
      <c r="H22" s="5" t="s">
        <v>652</v>
      </c>
      <c r="I22" s="5" t="s">
        <v>19</v>
      </c>
      <c r="J22" s="5" t="s">
        <v>66</v>
      </c>
      <c r="K22" s="5" t="s">
        <v>669</v>
      </c>
      <c r="L22" s="5" t="s">
        <v>25</v>
      </c>
      <c r="M22" s="5" t="s">
        <v>670</v>
      </c>
      <c r="N22" s="5" t="s">
        <v>646</v>
      </c>
      <c r="O22" s="9" t="n">
        <v>900</v>
      </c>
      <c r="P22" s="9" t="n">
        <v>900</v>
      </c>
      <c r="Q22" s="9" t="s">
        <v>25</v>
      </c>
    </row>
    <row r="23" customFormat="false" ht="39.75" hidden="false" customHeight="true" outlineLevel="0" collapsed="false">
      <c r="A23" s="5" t="s">
        <v>16</v>
      </c>
      <c r="B23" s="5" t="n">
        <v>1</v>
      </c>
      <c r="C23" s="5" t="s">
        <v>446</v>
      </c>
      <c r="D23" s="5" t="s">
        <v>307</v>
      </c>
      <c r="E23" s="5" t="s">
        <v>671</v>
      </c>
      <c r="F23" s="5" t="n">
        <v>10</v>
      </c>
      <c r="G23" s="5" t="n">
        <v>2024</v>
      </c>
      <c r="H23" s="5" t="s">
        <v>665</v>
      </c>
      <c r="I23" s="5" t="s">
        <v>19</v>
      </c>
      <c r="J23" s="5" t="s">
        <v>66</v>
      </c>
      <c r="K23" s="5" t="s">
        <v>672</v>
      </c>
      <c r="L23" s="5" t="s">
        <v>25</v>
      </c>
      <c r="M23" s="5" t="s">
        <v>673</v>
      </c>
      <c r="N23" s="5" t="s">
        <v>646</v>
      </c>
      <c r="O23" s="9" t="n">
        <v>4745</v>
      </c>
      <c r="P23" s="9" t="n">
        <v>4745</v>
      </c>
      <c r="Q23" s="9" t="s">
        <v>25</v>
      </c>
    </row>
    <row r="24" customFormat="false" ht="39.75" hidden="false" customHeight="true" outlineLevel="0" collapsed="false">
      <c r="A24" s="5" t="s">
        <v>16</v>
      </c>
      <c r="B24" s="5" t="n">
        <v>1</v>
      </c>
      <c r="C24" s="5" t="s">
        <v>446</v>
      </c>
      <c r="D24" s="5" t="s">
        <v>307</v>
      </c>
      <c r="E24" s="5" t="s">
        <v>674</v>
      </c>
      <c r="F24" s="5" t="n">
        <v>11</v>
      </c>
      <c r="G24" s="5" t="n">
        <v>2024</v>
      </c>
      <c r="H24" s="5" t="s">
        <v>675</v>
      </c>
      <c r="I24" s="5" t="s">
        <v>19</v>
      </c>
      <c r="J24" s="5" t="s">
        <v>66</v>
      </c>
      <c r="K24" s="5" t="s">
        <v>676</v>
      </c>
      <c r="L24" s="5" t="s">
        <v>286</v>
      </c>
      <c r="M24" s="5" t="s">
        <v>677</v>
      </c>
      <c r="N24" s="5" t="s">
        <v>646</v>
      </c>
      <c r="O24" s="9" t="n">
        <v>458</v>
      </c>
      <c r="P24" s="9" t="n">
        <v>458</v>
      </c>
      <c r="Q24" s="9" t="s">
        <v>286</v>
      </c>
    </row>
    <row r="25" customFormat="false" ht="39.75" hidden="false" customHeight="true" outlineLevel="0" collapsed="false">
      <c r="A25" s="5" t="s">
        <v>16</v>
      </c>
      <c r="B25" s="5" t="n">
        <v>1</v>
      </c>
      <c r="C25" s="5" t="s">
        <v>446</v>
      </c>
      <c r="D25" s="5" t="s">
        <v>307</v>
      </c>
      <c r="E25" s="5" t="s">
        <v>678</v>
      </c>
      <c r="F25" s="5" t="n">
        <v>12</v>
      </c>
      <c r="G25" s="5" t="n">
        <v>2024</v>
      </c>
      <c r="H25" s="5" t="s">
        <v>273</v>
      </c>
      <c r="I25" s="5" t="s">
        <v>19</v>
      </c>
      <c r="J25" s="5" t="s">
        <v>66</v>
      </c>
      <c r="K25" s="5" t="s">
        <v>679</v>
      </c>
      <c r="L25" s="5" t="s">
        <v>25</v>
      </c>
      <c r="M25" s="5" t="s">
        <v>680</v>
      </c>
      <c r="N25" s="5" t="s">
        <v>646</v>
      </c>
      <c r="O25" s="9" t="n">
        <v>380</v>
      </c>
      <c r="P25" s="9" t="n">
        <v>380</v>
      </c>
      <c r="Q25" s="9" t="s">
        <v>25</v>
      </c>
    </row>
    <row r="26" customFormat="false" ht="39.75" hidden="false" customHeight="true" outlineLevel="0" collapsed="false">
      <c r="A26" s="5" t="s">
        <v>16</v>
      </c>
      <c r="B26" s="5" t="n">
        <v>1</v>
      </c>
      <c r="C26" s="5" t="s">
        <v>446</v>
      </c>
      <c r="D26" s="5" t="s">
        <v>307</v>
      </c>
      <c r="E26" s="5" t="s">
        <v>681</v>
      </c>
      <c r="F26" s="5" t="n">
        <v>13</v>
      </c>
      <c r="G26" s="5" t="n">
        <v>2024</v>
      </c>
      <c r="H26" s="5" t="s">
        <v>652</v>
      </c>
      <c r="I26" s="5" t="s">
        <v>19</v>
      </c>
      <c r="J26" s="5" t="s">
        <v>66</v>
      </c>
      <c r="K26" s="5" t="s">
        <v>682</v>
      </c>
      <c r="L26" s="5" t="s">
        <v>25</v>
      </c>
      <c r="M26" s="5" t="s">
        <v>683</v>
      </c>
      <c r="N26" s="5" t="s">
        <v>646</v>
      </c>
      <c r="O26" s="9" t="n">
        <v>20</v>
      </c>
      <c r="P26" s="9" t="n">
        <v>20</v>
      </c>
      <c r="Q26" s="9" t="s">
        <v>25</v>
      </c>
    </row>
    <row r="27" customFormat="false" ht="39.75" hidden="false" customHeight="true" outlineLevel="0" collapsed="false">
      <c r="A27" s="5" t="s">
        <v>16</v>
      </c>
      <c r="B27" s="5" t="n">
        <v>1</v>
      </c>
      <c r="C27" s="5" t="s">
        <v>446</v>
      </c>
      <c r="D27" s="5" t="s">
        <v>307</v>
      </c>
      <c r="E27" s="5" t="s">
        <v>684</v>
      </c>
      <c r="F27" s="5" t="n">
        <v>14</v>
      </c>
      <c r="G27" s="5" t="n">
        <v>2024</v>
      </c>
      <c r="H27" s="5" t="s">
        <v>643</v>
      </c>
      <c r="I27" s="5" t="s">
        <v>19</v>
      </c>
      <c r="J27" s="5" t="s">
        <v>66</v>
      </c>
      <c r="K27" s="5" t="s">
        <v>685</v>
      </c>
      <c r="L27" s="5" t="s">
        <v>25</v>
      </c>
      <c r="M27" s="5" t="s">
        <v>686</v>
      </c>
      <c r="N27" s="5" t="s">
        <v>646</v>
      </c>
      <c r="O27" s="9" t="n">
        <v>3050</v>
      </c>
      <c r="P27" s="9" t="n">
        <v>3050</v>
      </c>
      <c r="Q27" s="9" t="s">
        <v>25</v>
      </c>
    </row>
    <row r="28" customFormat="false" ht="39.75" hidden="false" customHeight="true" outlineLevel="0" collapsed="false">
      <c r="A28" s="5" t="s">
        <v>16</v>
      </c>
      <c r="B28" s="5" t="n">
        <v>1</v>
      </c>
      <c r="C28" s="5" t="s">
        <v>446</v>
      </c>
      <c r="D28" s="5" t="s">
        <v>307</v>
      </c>
      <c r="E28" s="5" t="s">
        <v>687</v>
      </c>
      <c r="F28" s="5" t="n">
        <v>15</v>
      </c>
      <c r="G28" s="5" t="n">
        <v>2024</v>
      </c>
      <c r="H28" s="5" t="s">
        <v>675</v>
      </c>
      <c r="I28" s="5" t="s">
        <v>19</v>
      </c>
      <c r="J28" s="5" t="s">
        <v>66</v>
      </c>
      <c r="K28" s="5" t="s">
        <v>685</v>
      </c>
      <c r="L28" s="5" t="s">
        <v>25</v>
      </c>
      <c r="M28" s="5" t="s">
        <v>688</v>
      </c>
      <c r="N28" s="5" t="s">
        <v>646</v>
      </c>
      <c r="O28" s="9" t="n">
        <v>3050</v>
      </c>
      <c r="P28" s="9" t="n">
        <v>3050</v>
      </c>
      <c r="Q28" s="9" t="s">
        <v>25</v>
      </c>
    </row>
    <row r="29" customFormat="false" ht="39.75" hidden="false" customHeight="true" outlineLevel="0" collapsed="false">
      <c r="A29" s="5" t="s">
        <v>16</v>
      </c>
      <c r="B29" s="5" t="n">
        <v>1</v>
      </c>
      <c r="C29" s="5" t="s">
        <v>446</v>
      </c>
      <c r="D29" s="5" t="s">
        <v>307</v>
      </c>
      <c r="E29" s="5" t="s">
        <v>689</v>
      </c>
      <c r="F29" s="5" t="n">
        <v>16</v>
      </c>
      <c r="G29" s="5" t="n">
        <v>2024</v>
      </c>
      <c r="H29" s="5" t="s">
        <v>638</v>
      </c>
      <c r="I29" s="5" t="s">
        <v>19</v>
      </c>
      <c r="J29" s="5" t="s">
        <v>66</v>
      </c>
      <c r="K29" s="5" t="s">
        <v>690</v>
      </c>
      <c r="L29" s="5" t="s">
        <v>691</v>
      </c>
      <c r="M29" s="5" t="s">
        <v>692</v>
      </c>
      <c r="N29" s="5" t="s">
        <v>646</v>
      </c>
      <c r="O29" s="9" t="n">
        <v>75</v>
      </c>
      <c r="P29" s="9" t="n">
        <v>75</v>
      </c>
      <c r="Q29" s="9" t="s">
        <v>110</v>
      </c>
    </row>
    <row r="30" customFormat="false" ht="39.75" hidden="false" customHeight="true" outlineLevel="0" collapsed="false">
      <c r="A30" s="5" t="s">
        <v>16</v>
      </c>
      <c r="B30" s="5" t="n">
        <v>1</v>
      </c>
      <c r="C30" s="5" t="s">
        <v>446</v>
      </c>
      <c r="D30" s="5" t="s">
        <v>307</v>
      </c>
      <c r="E30" s="5" t="s">
        <v>693</v>
      </c>
      <c r="F30" s="5" t="n">
        <v>17</v>
      </c>
      <c r="G30" s="5" t="n">
        <v>2024</v>
      </c>
      <c r="H30" s="5" t="s">
        <v>652</v>
      </c>
      <c r="I30" s="5" t="s">
        <v>19</v>
      </c>
      <c r="J30" s="5" t="s">
        <v>66</v>
      </c>
      <c r="K30" s="5" t="s">
        <v>694</v>
      </c>
      <c r="L30" s="5" t="s">
        <v>110</v>
      </c>
      <c r="M30" s="5" t="s">
        <v>695</v>
      </c>
      <c r="N30" s="5" t="s">
        <v>646</v>
      </c>
      <c r="O30" s="9" t="n">
        <v>77</v>
      </c>
      <c r="P30" s="9" t="n">
        <v>77</v>
      </c>
      <c r="Q30" s="9" t="s">
        <v>110</v>
      </c>
    </row>
    <row r="31" customFormat="false" ht="39.75" hidden="false" customHeight="true" outlineLevel="0" collapsed="false">
      <c r="A31" s="5" t="s">
        <v>16</v>
      </c>
      <c r="B31" s="5" t="n">
        <v>1</v>
      </c>
      <c r="C31" s="5" t="s">
        <v>446</v>
      </c>
      <c r="D31" s="5" t="s">
        <v>307</v>
      </c>
      <c r="E31" s="5" t="s">
        <v>696</v>
      </c>
      <c r="F31" s="5" t="n">
        <v>18</v>
      </c>
      <c r="G31" s="5" t="n">
        <v>2024</v>
      </c>
      <c r="H31" s="5" t="s">
        <v>697</v>
      </c>
      <c r="I31" s="5" t="s">
        <v>19</v>
      </c>
      <c r="J31" s="5" t="s">
        <v>66</v>
      </c>
      <c r="K31" s="5" t="s">
        <v>698</v>
      </c>
      <c r="L31" s="5" t="s">
        <v>649</v>
      </c>
      <c r="M31" s="5" t="s">
        <v>699</v>
      </c>
      <c r="N31" s="5" t="s">
        <v>646</v>
      </c>
      <c r="O31" s="9" t="n">
        <v>141</v>
      </c>
      <c r="P31" s="9" t="n">
        <v>141</v>
      </c>
      <c r="Q31" s="9" t="s">
        <v>25</v>
      </c>
    </row>
    <row r="32" customFormat="false" ht="39.75" hidden="false" customHeight="true" outlineLevel="0" collapsed="false">
      <c r="A32" s="5" t="s">
        <v>16</v>
      </c>
      <c r="B32" s="5" t="n">
        <v>1</v>
      </c>
      <c r="C32" s="5" t="s">
        <v>446</v>
      </c>
      <c r="D32" s="5" t="s">
        <v>307</v>
      </c>
      <c r="E32" s="5" t="s">
        <v>700</v>
      </c>
      <c r="F32" s="5" t="n">
        <v>19</v>
      </c>
      <c r="G32" s="5" t="n">
        <v>2024</v>
      </c>
      <c r="H32" s="5" t="s">
        <v>132</v>
      </c>
      <c r="I32" s="5" t="s">
        <v>19</v>
      </c>
      <c r="J32" s="5" t="s">
        <v>66</v>
      </c>
      <c r="K32" s="5" t="s">
        <v>701</v>
      </c>
      <c r="L32" s="5" t="s">
        <v>25</v>
      </c>
      <c r="M32" s="5" t="s">
        <v>702</v>
      </c>
      <c r="N32" s="5" t="s">
        <v>646</v>
      </c>
      <c r="O32" s="9" t="n">
        <v>423</v>
      </c>
      <c r="P32" s="9" t="n">
        <v>423</v>
      </c>
      <c r="Q32" s="9" t="s">
        <v>25</v>
      </c>
    </row>
    <row r="33" customFormat="false" ht="39.75" hidden="false" customHeight="true" outlineLevel="0" collapsed="false">
      <c r="A33" s="5" t="s">
        <v>16</v>
      </c>
      <c r="B33" s="5" t="n">
        <v>1</v>
      </c>
      <c r="C33" s="5" t="s">
        <v>446</v>
      </c>
      <c r="D33" s="5" t="s">
        <v>307</v>
      </c>
      <c r="E33" s="5" t="s">
        <v>703</v>
      </c>
      <c r="F33" s="5" t="n">
        <v>20</v>
      </c>
      <c r="G33" s="5" t="n">
        <v>2024</v>
      </c>
      <c r="H33" s="5" t="s">
        <v>652</v>
      </c>
      <c r="I33" s="5" t="s">
        <v>19</v>
      </c>
      <c r="J33" s="5" t="s">
        <v>66</v>
      </c>
      <c r="K33" s="5" t="s">
        <v>704</v>
      </c>
      <c r="L33" s="5" t="s">
        <v>25</v>
      </c>
      <c r="M33" s="5" t="s">
        <v>705</v>
      </c>
      <c r="N33" s="5" t="s">
        <v>646</v>
      </c>
      <c r="O33" s="9" t="n">
        <v>1111</v>
      </c>
      <c r="P33" s="9" t="n">
        <v>1111</v>
      </c>
      <c r="Q33" s="9" t="s">
        <v>25</v>
      </c>
    </row>
    <row r="34" customFormat="false" ht="39.75" hidden="false" customHeight="true" outlineLevel="0" collapsed="false">
      <c r="A34" s="5" t="s">
        <v>16</v>
      </c>
      <c r="B34" s="5" t="n">
        <v>1</v>
      </c>
      <c r="C34" s="5" t="s">
        <v>446</v>
      </c>
      <c r="D34" s="5" t="s">
        <v>307</v>
      </c>
      <c r="E34" s="5" t="s">
        <v>706</v>
      </c>
      <c r="F34" s="5" t="n">
        <v>21</v>
      </c>
      <c r="G34" s="5" t="n">
        <v>2024</v>
      </c>
      <c r="H34" s="5" t="s">
        <v>652</v>
      </c>
      <c r="I34" s="5" t="s">
        <v>19</v>
      </c>
      <c r="J34" s="5" t="s">
        <v>66</v>
      </c>
      <c r="K34" s="5" t="s">
        <v>707</v>
      </c>
      <c r="L34" s="5" t="s">
        <v>227</v>
      </c>
      <c r="M34" s="5" t="s">
        <v>708</v>
      </c>
      <c r="N34" s="5" t="s">
        <v>646</v>
      </c>
      <c r="O34" s="9" t="n">
        <v>525</v>
      </c>
      <c r="P34" s="9" t="n">
        <v>525</v>
      </c>
      <c r="Q34" s="9" t="s">
        <v>119</v>
      </c>
    </row>
    <row r="35" customFormat="false" ht="39.75" hidden="false" customHeight="true" outlineLevel="0" collapsed="false">
      <c r="A35" s="5" t="s">
        <v>16</v>
      </c>
      <c r="B35" s="5" t="n">
        <v>1</v>
      </c>
      <c r="C35" s="5" t="s">
        <v>446</v>
      </c>
      <c r="D35" s="5" t="s">
        <v>307</v>
      </c>
      <c r="E35" s="5" t="s">
        <v>709</v>
      </c>
      <c r="F35" s="5" t="n">
        <v>22</v>
      </c>
      <c r="G35" s="5" t="n">
        <v>2023</v>
      </c>
      <c r="H35" s="5" t="s">
        <v>652</v>
      </c>
      <c r="I35" s="5" t="s">
        <v>19</v>
      </c>
      <c r="J35" s="5" t="s">
        <v>66</v>
      </c>
      <c r="K35" s="5" t="s">
        <v>710</v>
      </c>
      <c r="L35" s="5" t="s">
        <v>25</v>
      </c>
      <c r="M35" s="5" t="s">
        <v>711</v>
      </c>
      <c r="N35" s="5" t="s">
        <v>646</v>
      </c>
      <c r="O35" s="9" t="n">
        <v>35.5</v>
      </c>
      <c r="P35" s="9" t="n">
        <v>35.5</v>
      </c>
      <c r="Q35" s="9" t="s">
        <v>25</v>
      </c>
    </row>
    <row r="36" customFormat="false" ht="39.75" hidden="false" customHeight="true" outlineLevel="0" collapsed="false">
      <c r="A36" s="5" t="s">
        <v>16</v>
      </c>
      <c r="B36" s="5" t="n">
        <v>1</v>
      </c>
      <c r="C36" s="5" t="s">
        <v>446</v>
      </c>
      <c r="D36" s="5" t="s">
        <v>307</v>
      </c>
      <c r="E36" s="5" t="s">
        <v>712</v>
      </c>
      <c r="F36" s="5" t="n">
        <v>23</v>
      </c>
      <c r="G36" s="5" t="n">
        <v>2024</v>
      </c>
      <c r="H36" s="5" t="s">
        <v>643</v>
      </c>
      <c r="I36" s="5" t="s">
        <v>19</v>
      </c>
      <c r="J36" s="5" t="s">
        <v>66</v>
      </c>
      <c r="K36" s="5" t="s">
        <v>713</v>
      </c>
      <c r="L36" s="5" t="s">
        <v>25</v>
      </c>
      <c r="M36" s="5" t="s">
        <v>714</v>
      </c>
      <c r="N36" s="5" t="s">
        <v>646</v>
      </c>
      <c r="O36" s="9" t="n">
        <v>23.9</v>
      </c>
      <c r="P36" s="9" t="n">
        <v>23.9</v>
      </c>
      <c r="Q36" s="9" t="s">
        <v>25</v>
      </c>
    </row>
    <row r="37" customFormat="false" ht="39.75" hidden="false" customHeight="true" outlineLevel="0" collapsed="false">
      <c r="A37" s="5" t="s">
        <v>16</v>
      </c>
      <c r="B37" s="5" t="n">
        <v>1</v>
      </c>
      <c r="C37" s="5" t="s">
        <v>446</v>
      </c>
      <c r="D37" s="5" t="s">
        <v>307</v>
      </c>
      <c r="E37" s="5" t="s">
        <v>715</v>
      </c>
      <c r="F37" s="5" t="n">
        <v>24</v>
      </c>
      <c r="G37" s="5" t="n">
        <v>2024</v>
      </c>
      <c r="H37" s="5" t="s">
        <v>132</v>
      </c>
      <c r="I37" s="5" t="s">
        <v>19</v>
      </c>
      <c r="J37" s="5" t="s">
        <v>66</v>
      </c>
      <c r="K37" s="5" t="s">
        <v>716</v>
      </c>
      <c r="L37" s="5" t="s">
        <v>25</v>
      </c>
      <c r="M37" s="5" t="s">
        <v>717</v>
      </c>
      <c r="N37" s="5" t="s">
        <v>646</v>
      </c>
      <c r="O37" s="9" t="n">
        <v>6600</v>
      </c>
      <c r="P37" s="9" t="n">
        <v>6600</v>
      </c>
      <c r="Q37" s="9" t="s">
        <v>25</v>
      </c>
    </row>
    <row r="38" customFormat="false" ht="39.75" hidden="false" customHeight="true" outlineLevel="0" collapsed="false">
      <c r="A38" s="5" t="s">
        <v>16</v>
      </c>
      <c r="B38" s="5" t="n">
        <v>1</v>
      </c>
      <c r="C38" s="5" t="s">
        <v>446</v>
      </c>
      <c r="D38" s="5" t="s">
        <v>307</v>
      </c>
      <c r="E38" s="5" t="s">
        <v>718</v>
      </c>
      <c r="F38" s="5" t="n">
        <v>25</v>
      </c>
      <c r="G38" s="5" t="n">
        <v>2024</v>
      </c>
      <c r="H38" s="5" t="s">
        <v>665</v>
      </c>
      <c r="I38" s="5" t="s">
        <v>19</v>
      </c>
      <c r="J38" s="5" t="s">
        <v>66</v>
      </c>
      <c r="K38" s="5" t="s">
        <v>719</v>
      </c>
      <c r="L38" s="5" t="s">
        <v>25</v>
      </c>
      <c r="M38" s="5" t="s">
        <v>720</v>
      </c>
      <c r="N38" s="5" t="s">
        <v>646</v>
      </c>
      <c r="O38" s="9" t="n">
        <v>123</v>
      </c>
      <c r="P38" s="9" t="n">
        <v>123</v>
      </c>
      <c r="Q38" s="9" t="s">
        <v>25</v>
      </c>
    </row>
    <row r="39" customFormat="false" ht="39.75" hidden="false" customHeight="true" outlineLevel="0" collapsed="false">
      <c r="A39" s="5" t="s">
        <v>16</v>
      </c>
      <c r="B39" s="5" t="n">
        <v>1</v>
      </c>
      <c r="C39" s="5" t="s">
        <v>446</v>
      </c>
      <c r="D39" s="5" t="s">
        <v>307</v>
      </c>
      <c r="E39" s="5" t="s">
        <v>721</v>
      </c>
      <c r="F39" s="5" t="n">
        <v>26</v>
      </c>
      <c r="G39" s="5" t="n">
        <v>2025</v>
      </c>
      <c r="H39" s="5" t="s">
        <v>675</v>
      </c>
      <c r="I39" s="5" t="s">
        <v>19</v>
      </c>
      <c r="J39" s="5" t="s">
        <v>66</v>
      </c>
      <c r="K39" s="5" t="s">
        <v>722</v>
      </c>
      <c r="L39" s="5" t="s">
        <v>286</v>
      </c>
      <c r="M39" s="9" t="s">
        <v>723</v>
      </c>
      <c r="N39" s="9" t="s">
        <v>724</v>
      </c>
      <c r="O39" s="9" t="n">
        <v>407</v>
      </c>
      <c r="P39" s="9" t="n">
        <v>407</v>
      </c>
      <c r="Q39" s="9" t="s">
        <v>286</v>
      </c>
    </row>
    <row r="40" customFormat="false" ht="39.75" hidden="false" customHeight="true" outlineLevel="0" collapsed="false">
      <c r="A40" s="5" t="s">
        <v>16</v>
      </c>
      <c r="B40" s="5" t="n">
        <v>1</v>
      </c>
      <c r="C40" s="5" t="s">
        <v>384</v>
      </c>
      <c r="D40" s="5" t="s">
        <v>90</v>
      </c>
      <c r="E40" s="5" t="s">
        <v>725</v>
      </c>
      <c r="F40" s="5" t="n">
        <v>3</v>
      </c>
      <c r="G40" s="5" t="n">
        <v>2024</v>
      </c>
      <c r="H40" s="5" t="s">
        <v>314</v>
      </c>
      <c r="I40" s="5" t="s">
        <v>19</v>
      </c>
      <c r="J40" s="5" t="s">
        <v>535</v>
      </c>
      <c r="K40" s="5" t="s">
        <v>726</v>
      </c>
      <c r="L40" s="5" t="s">
        <v>119</v>
      </c>
      <c r="M40" s="9" t="s">
        <v>727</v>
      </c>
      <c r="N40" s="9" t="s">
        <v>724</v>
      </c>
      <c r="O40" s="9" t="n">
        <v>100</v>
      </c>
      <c r="P40" s="9" t="n">
        <v>100</v>
      </c>
      <c r="Q40" s="9" t="s">
        <v>119</v>
      </c>
    </row>
    <row r="41" customFormat="false" ht="39.75" hidden="false" customHeight="true" outlineLevel="0" collapsed="false">
      <c r="A41" s="5" t="s">
        <v>16</v>
      </c>
      <c r="B41" s="9" t="n">
        <v>1</v>
      </c>
      <c r="C41" s="5" t="s">
        <v>384</v>
      </c>
      <c r="D41" s="9" t="s">
        <v>90</v>
      </c>
      <c r="E41" s="9" t="s">
        <v>728</v>
      </c>
      <c r="F41" s="9" t="n">
        <v>4</v>
      </c>
      <c r="G41" s="9" t="n">
        <v>2024</v>
      </c>
      <c r="H41" s="9" t="s">
        <v>97</v>
      </c>
      <c r="I41" s="9" t="s">
        <v>19</v>
      </c>
      <c r="J41" s="9" t="s">
        <v>66</v>
      </c>
      <c r="K41" s="9" t="s">
        <v>726</v>
      </c>
      <c r="L41" s="9" t="s">
        <v>691</v>
      </c>
      <c r="M41" s="9" t="s">
        <v>729</v>
      </c>
      <c r="N41" s="9" t="s">
        <v>724</v>
      </c>
      <c r="O41" s="9" t="n">
        <v>100</v>
      </c>
      <c r="P41" s="9" t="n">
        <v>100</v>
      </c>
      <c r="Q41" s="9" t="s">
        <v>110</v>
      </c>
    </row>
    <row r="42" customFormat="false" ht="39.75" hidden="false" customHeight="true" outlineLevel="0" collapsed="false">
      <c r="A42" s="5" t="s">
        <v>16</v>
      </c>
      <c r="B42" s="9" t="n">
        <v>1</v>
      </c>
      <c r="C42" s="5" t="s">
        <v>384</v>
      </c>
      <c r="D42" s="9" t="s">
        <v>90</v>
      </c>
      <c r="E42" s="9" t="s">
        <v>730</v>
      </c>
      <c r="F42" s="9" t="n">
        <v>5</v>
      </c>
      <c r="G42" s="9" t="n">
        <v>2024</v>
      </c>
      <c r="H42" s="9" t="s">
        <v>97</v>
      </c>
      <c r="I42" s="9" t="s">
        <v>19</v>
      </c>
      <c r="J42" s="9" t="s">
        <v>66</v>
      </c>
      <c r="K42" s="9" t="s">
        <v>726</v>
      </c>
      <c r="L42" s="9" t="s">
        <v>622</v>
      </c>
      <c r="M42" s="9" t="s">
        <v>731</v>
      </c>
      <c r="N42" s="9" t="s">
        <v>724</v>
      </c>
      <c r="O42" s="9" t="n">
        <v>100</v>
      </c>
      <c r="P42" s="9" t="n">
        <v>100</v>
      </c>
      <c r="Q42" s="9" t="s">
        <v>38</v>
      </c>
    </row>
    <row r="43" customFormat="false" ht="39.75" hidden="false" customHeight="true" outlineLevel="0" collapsed="false">
      <c r="A43" s="5" t="s">
        <v>16</v>
      </c>
      <c r="B43" s="9" t="n">
        <v>1</v>
      </c>
      <c r="C43" s="5" t="s">
        <v>446</v>
      </c>
      <c r="D43" s="5" t="s">
        <v>307</v>
      </c>
      <c r="E43" s="5" t="s">
        <v>732</v>
      </c>
      <c r="F43" s="5" t="n">
        <v>27</v>
      </c>
      <c r="G43" s="5" t="n">
        <v>2025</v>
      </c>
      <c r="H43" s="5" t="s">
        <v>314</v>
      </c>
      <c r="I43" s="5" t="s">
        <v>19</v>
      </c>
      <c r="J43" s="5" t="s">
        <v>66</v>
      </c>
      <c r="K43" s="5" t="s">
        <v>733</v>
      </c>
      <c r="L43" s="5" t="s">
        <v>227</v>
      </c>
      <c r="M43" s="9" t="s">
        <v>734</v>
      </c>
      <c r="N43" s="9" t="s">
        <v>724</v>
      </c>
      <c r="O43" s="9" t="n">
        <v>53</v>
      </c>
      <c r="P43" s="9" t="n">
        <v>53</v>
      </c>
      <c r="Q43" s="9" t="s">
        <v>119</v>
      </c>
    </row>
    <row r="44" customFormat="false" ht="39.75" hidden="false" customHeight="true" outlineLevel="0" collapsed="false">
      <c r="A44" s="5" t="s">
        <v>16</v>
      </c>
      <c r="B44" s="9" t="n">
        <v>1</v>
      </c>
      <c r="C44" s="5" t="s">
        <v>446</v>
      </c>
      <c r="D44" s="5" t="s">
        <v>307</v>
      </c>
      <c r="E44" s="5" t="s">
        <v>735</v>
      </c>
      <c r="F44" s="5" t="n">
        <v>28</v>
      </c>
      <c r="G44" s="5" t="n">
        <v>2024</v>
      </c>
      <c r="H44" s="5" t="s">
        <v>675</v>
      </c>
      <c r="I44" s="5" t="s">
        <v>19</v>
      </c>
      <c r="J44" s="5" t="s">
        <v>66</v>
      </c>
      <c r="K44" s="5" t="s">
        <v>736</v>
      </c>
      <c r="L44" s="5" t="s">
        <v>110</v>
      </c>
      <c r="M44" s="9" t="s">
        <v>737</v>
      </c>
      <c r="N44" s="9" t="s">
        <v>724</v>
      </c>
      <c r="O44" s="9" t="n">
        <v>325</v>
      </c>
      <c r="P44" s="9" t="n">
        <v>325</v>
      </c>
      <c r="Q44" s="9" t="s">
        <v>110</v>
      </c>
    </row>
    <row r="45" customFormat="false" ht="39.75" hidden="false" customHeight="true" outlineLevel="0" collapsed="false">
      <c r="A45" s="5" t="s">
        <v>16</v>
      </c>
      <c r="B45" s="9" t="n">
        <v>1</v>
      </c>
      <c r="C45" s="5" t="s">
        <v>397</v>
      </c>
      <c r="D45" s="5" t="s">
        <v>303</v>
      </c>
      <c r="E45" s="5" t="s">
        <v>738</v>
      </c>
      <c r="F45" s="5" t="n">
        <v>1</v>
      </c>
      <c r="G45" s="5" t="n">
        <v>2024</v>
      </c>
      <c r="H45" s="5" t="s">
        <v>97</v>
      </c>
      <c r="I45" s="5" t="s">
        <v>19</v>
      </c>
      <c r="J45" s="5" t="s">
        <v>535</v>
      </c>
      <c r="K45" s="5" t="s">
        <v>398</v>
      </c>
      <c r="L45" s="5" t="s">
        <v>119</v>
      </c>
      <c r="M45" s="5" t="s">
        <v>739</v>
      </c>
      <c r="N45" s="9" t="s">
        <v>724</v>
      </c>
      <c r="O45" s="9" t="n">
        <v>285</v>
      </c>
      <c r="P45" s="9" t="n">
        <v>285</v>
      </c>
      <c r="Q45" s="9" t="s">
        <v>119</v>
      </c>
    </row>
    <row r="46" customFormat="false" ht="39.75" hidden="false" customHeight="true" outlineLevel="0" collapsed="false">
      <c r="A46" s="5" t="s">
        <v>16</v>
      </c>
      <c r="B46" s="9" t="n">
        <v>1</v>
      </c>
      <c r="C46" s="29" t="s">
        <v>389</v>
      </c>
      <c r="D46" s="29" t="s">
        <v>96</v>
      </c>
      <c r="E46" s="5" t="s">
        <v>740</v>
      </c>
      <c r="F46" s="5" t="n">
        <v>2</v>
      </c>
      <c r="G46" s="5" t="n">
        <v>2024</v>
      </c>
      <c r="H46" s="5" t="s">
        <v>652</v>
      </c>
      <c r="I46" s="5" t="s">
        <v>19</v>
      </c>
      <c r="J46" s="5" t="s">
        <v>535</v>
      </c>
      <c r="K46" s="5" t="s">
        <v>741</v>
      </c>
      <c r="L46" s="5" t="s">
        <v>119</v>
      </c>
      <c r="M46" s="5" t="s">
        <v>742</v>
      </c>
      <c r="N46" s="9" t="s">
        <v>743</v>
      </c>
      <c r="O46" s="9" t="n">
        <v>5</v>
      </c>
      <c r="P46" s="9" t="n">
        <v>5</v>
      </c>
      <c r="Q46" s="9" t="s">
        <v>119</v>
      </c>
    </row>
    <row r="47" customFormat="false" ht="39.75" hidden="false" customHeight="true" outlineLevel="0" collapsed="false">
      <c r="A47" s="10" t="s">
        <v>64</v>
      </c>
      <c r="B47" s="30" t="n">
        <v>6</v>
      </c>
      <c r="C47" s="30" t="s">
        <v>480</v>
      </c>
      <c r="D47" s="30" t="s">
        <v>28</v>
      </c>
      <c r="E47" s="30" t="s">
        <v>744</v>
      </c>
      <c r="F47" s="30" t="n">
        <v>1</v>
      </c>
      <c r="G47" s="30" t="n">
        <v>2024</v>
      </c>
      <c r="H47" s="10" t="s">
        <v>745</v>
      </c>
      <c r="I47" s="30" t="s">
        <v>19</v>
      </c>
      <c r="J47" s="30" t="s">
        <v>535</v>
      </c>
      <c r="K47" s="30" t="s">
        <v>746</v>
      </c>
      <c r="L47" s="30" t="s">
        <v>25</v>
      </c>
      <c r="M47" s="10" t="s">
        <v>747</v>
      </c>
      <c r="N47" s="31" t="s">
        <v>748</v>
      </c>
      <c r="O47" s="9" t="n">
        <v>4.12</v>
      </c>
      <c r="P47" s="9" t="n">
        <v>4.12</v>
      </c>
      <c r="Q47" s="9" t="s">
        <v>25</v>
      </c>
    </row>
    <row r="48" customFormat="false" ht="39.75" hidden="false" customHeight="true" outlineLevel="0" collapsed="false">
      <c r="A48" s="10" t="s">
        <v>64</v>
      </c>
      <c r="B48" s="30" t="n">
        <v>6</v>
      </c>
      <c r="C48" s="30" t="s">
        <v>480</v>
      </c>
      <c r="D48" s="30" t="s">
        <v>28</v>
      </c>
      <c r="E48" s="30" t="s">
        <v>749</v>
      </c>
      <c r="F48" s="30" t="n">
        <v>2</v>
      </c>
      <c r="G48" s="30" t="n">
        <v>2025</v>
      </c>
      <c r="H48" s="10" t="s">
        <v>745</v>
      </c>
      <c r="I48" s="30" t="s">
        <v>19</v>
      </c>
      <c r="J48" s="30" t="s">
        <v>535</v>
      </c>
      <c r="K48" s="30" t="s">
        <v>750</v>
      </c>
      <c r="L48" s="30" t="s">
        <v>286</v>
      </c>
      <c r="M48" s="10" t="s">
        <v>751</v>
      </c>
      <c r="N48" s="31" t="s">
        <v>752</v>
      </c>
      <c r="O48" s="9" t="n">
        <v>2.4</v>
      </c>
      <c r="P48" s="9" t="n">
        <v>2.4</v>
      </c>
      <c r="Q48" s="9" t="s">
        <v>286</v>
      </c>
    </row>
    <row r="49" customFormat="false" ht="39.75" hidden="false" customHeight="true" outlineLevel="0" collapsed="false">
      <c r="A49" s="10" t="s">
        <v>64</v>
      </c>
      <c r="B49" s="30" t="n">
        <v>6</v>
      </c>
      <c r="C49" s="30" t="s">
        <v>480</v>
      </c>
      <c r="D49" s="30" t="s">
        <v>28</v>
      </c>
      <c r="E49" s="30" t="s">
        <v>753</v>
      </c>
      <c r="F49" s="30" t="n">
        <v>3</v>
      </c>
      <c r="G49" s="30" t="n">
        <v>2025</v>
      </c>
      <c r="H49" s="10" t="s">
        <v>745</v>
      </c>
      <c r="I49" s="30" t="s">
        <v>19</v>
      </c>
      <c r="J49" s="30" t="s">
        <v>535</v>
      </c>
      <c r="K49" s="30" t="s">
        <v>754</v>
      </c>
      <c r="L49" s="30" t="s">
        <v>537</v>
      </c>
      <c r="M49" s="10" t="s">
        <v>755</v>
      </c>
      <c r="N49" s="31" t="s">
        <v>756</v>
      </c>
      <c r="O49" s="9" t="n">
        <v>23.25</v>
      </c>
      <c r="P49" s="9" t="n">
        <v>23.25</v>
      </c>
      <c r="Q49" s="9" t="s">
        <v>44</v>
      </c>
    </row>
    <row r="50" customFormat="false" ht="39.75" hidden="false" customHeight="true" outlineLevel="0" collapsed="false">
      <c r="A50" s="10" t="s">
        <v>64</v>
      </c>
      <c r="B50" s="30" t="n">
        <v>6</v>
      </c>
      <c r="C50" s="30" t="s">
        <v>480</v>
      </c>
      <c r="D50" s="30" t="s">
        <v>28</v>
      </c>
      <c r="E50" s="30" t="s">
        <v>757</v>
      </c>
      <c r="F50" s="30" t="n">
        <v>4</v>
      </c>
      <c r="G50" s="30" t="n">
        <v>2025</v>
      </c>
      <c r="H50" s="10" t="s">
        <v>745</v>
      </c>
      <c r="I50" s="30" t="s">
        <v>19</v>
      </c>
      <c r="J50" s="30" t="s">
        <v>535</v>
      </c>
      <c r="K50" s="30" t="s">
        <v>758</v>
      </c>
      <c r="L50" s="30" t="s">
        <v>38</v>
      </c>
      <c r="M50" s="10" t="s">
        <v>759</v>
      </c>
      <c r="N50" s="31" t="s">
        <v>760</v>
      </c>
      <c r="O50" s="9" t="n">
        <v>2</v>
      </c>
      <c r="P50" s="9" t="n">
        <v>2</v>
      </c>
      <c r="Q50" s="9" t="s">
        <v>38</v>
      </c>
    </row>
    <row r="51" customFormat="false" ht="39.75" hidden="false" customHeight="true" outlineLevel="0" collapsed="false">
      <c r="A51" s="10" t="s">
        <v>64</v>
      </c>
      <c r="B51" s="30" t="n">
        <v>6</v>
      </c>
      <c r="C51" s="30" t="s">
        <v>480</v>
      </c>
      <c r="D51" s="30" t="s">
        <v>28</v>
      </c>
      <c r="E51" s="30" t="s">
        <v>761</v>
      </c>
      <c r="F51" s="30" t="n">
        <v>5</v>
      </c>
      <c r="G51" s="30" t="n">
        <v>2025</v>
      </c>
      <c r="H51" s="10" t="s">
        <v>745</v>
      </c>
      <c r="I51" s="30" t="s">
        <v>19</v>
      </c>
      <c r="J51" s="30" t="s">
        <v>535</v>
      </c>
      <c r="K51" s="30" t="s">
        <v>762</v>
      </c>
      <c r="L51" s="30" t="s">
        <v>286</v>
      </c>
      <c r="M51" s="10" t="s">
        <v>763</v>
      </c>
      <c r="N51" s="31" t="s">
        <v>764</v>
      </c>
      <c r="O51" s="9" t="n">
        <v>17.3</v>
      </c>
      <c r="P51" s="9" t="n">
        <v>17.3</v>
      </c>
      <c r="Q51" s="9" t="s">
        <v>286</v>
      </c>
    </row>
    <row r="52" customFormat="false" ht="39.75" hidden="false" customHeight="true" outlineLevel="0" collapsed="false">
      <c r="A52" s="10" t="s">
        <v>64</v>
      </c>
      <c r="B52" s="30" t="n">
        <v>6</v>
      </c>
      <c r="C52" s="30" t="s">
        <v>480</v>
      </c>
      <c r="D52" s="30" t="s">
        <v>28</v>
      </c>
      <c r="E52" s="30" t="s">
        <v>765</v>
      </c>
      <c r="F52" s="30" t="n">
        <v>6</v>
      </c>
      <c r="G52" s="30" t="n">
        <v>2025</v>
      </c>
      <c r="H52" s="10" t="s">
        <v>745</v>
      </c>
      <c r="I52" s="30" t="s">
        <v>19</v>
      </c>
      <c r="J52" s="30" t="s">
        <v>535</v>
      </c>
      <c r="K52" s="30" t="s">
        <v>766</v>
      </c>
      <c r="L52" s="30" t="s">
        <v>286</v>
      </c>
      <c r="M52" s="10" t="s">
        <v>767</v>
      </c>
      <c r="N52" s="31" t="s">
        <v>768</v>
      </c>
      <c r="O52" s="9" t="n">
        <v>7.87</v>
      </c>
      <c r="P52" s="9" t="n">
        <v>7.87</v>
      </c>
      <c r="Q52" s="9" t="s">
        <v>286</v>
      </c>
    </row>
    <row r="53" customFormat="false" ht="39.75" hidden="false" customHeight="true" outlineLevel="0" collapsed="false">
      <c r="A53" s="10" t="s">
        <v>64</v>
      </c>
      <c r="B53" s="30" t="n">
        <v>6</v>
      </c>
      <c r="C53" s="30" t="s">
        <v>480</v>
      </c>
      <c r="D53" s="30" t="s">
        <v>28</v>
      </c>
      <c r="E53" s="30" t="s">
        <v>769</v>
      </c>
      <c r="F53" s="30" t="n">
        <v>7</v>
      </c>
      <c r="G53" s="30" t="n">
        <v>2025</v>
      </c>
      <c r="H53" s="10" t="s">
        <v>745</v>
      </c>
      <c r="I53" s="30" t="s">
        <v>19</v>
      </c>
      <c r="J53" s="30" t="s">
        <v>535</v>
      </c>
      <c r="K53" s="30" t="s">
        <v>770</v>
      </c>
      <c r="L53" s="30" t="s">
        <v>316</v>
      </c>
      <c r="M53" s="10" t="s">
        <v>771</v>
      </c>
      <c r="N53" s="31" t="s">
        <v>772</v>
      </c>
      <c r="O53" s="9" t="n">
        <v>3.08</v>
      </c>
      <c r="P53" s="9" t="n">
        <v>3.08</v>
      </c>
      <c r="Q53" s="9" t="s">
        <v>316</v>
      </c>
    </row>
    <row r="54" customFormat="false" ht="39.75" hidden="false" customHeight="true" outlineLevel="0" collapsed="false">
      <c r="A54" s="10" t="s">
        <v>64</v>
      </c>
      <c r="B54" s="30" t="n">
        <v>6</v>
      </c>
      <c r="C54" s="30" t="s">
        <v>480</v>
      </c>
      <c r="D54" s="30" t="s">
        <v>28</v>
      </c>
      <c r="E54" s="30" t="s">
        <v>773</v>
      </c>
      <c r="F54" s="30" t="n">
        <v>8</v>
      </c>
      <c r="G54" s="30" t="n">
        <v>2025</v>
      </c>
      <c r="H54" s="10" t="s">
        <v>745</v>
      </c>
      <c r="I54" s="30" t="s">
        <v>19</v>
      </c>
      <c r="J54" s="30" t="s">
        <v>535</v>
      </c>
      <c r="K54" s="30" t="s">
        <v>774</v>
      </c>
      <c r="L54" s="30" t="s">
        <v>286</v>
      </c>
      <c r="M54" s="10" t="s">
        <v>775</v>
      </c>
      <c r="N54" s="31" t="s">
        <v>776</v>
      </c>
      <c r="O54" s="9" t="n">
        <v>5.3</v>
      </c>
      <c r="P54" s="9" t="n">
        <v>5.3</v>
      </c>
      <c r="Q54" s="9" t="s">
        <v>286</v>
      </c>
    </row>
    <row r="55" customFormat="false" ht="39.75" hidden="false" customHeight="true" outlineLevel="0" collapsed="false">
      <c r="A55" s="10" t="s">
        <v>64</v>
      </c>
      <c r="B55" s="30" t="n">
        <v>6</v>
      </c>
      <c r="C55" s="30" t="s">
        <v>480</v>
      </c>
      <c r="D55" s="30" t="s">
        <v>28</v>
      </c>
      <c r="E55" s="30" t="s">
        <v>777</v>
      </c>
      <c r="F55" s="30" t="n">
        <v>9</v>
      </c>
      <c r="G55" s="30" t="n">
        <v>2025</v>
      </c>
      <c r="H55" s="10" t="s">
        <v>745</v>
      </c>
      <c r="I55" s="30" t="s">
        <v>19</v>
      </c>
      <c r="J55" s="30" t="s">
        <v>535</v>
      </c>
      <c r="K55" s="30" t="s">
        <v>778</v>
      </c>
      <c r="L55" s="30" t="s">
        <v>316</v>
      </c>
      <c r="M55" s="10" t="s">
        <v>779</v>
      </c>
      <c r="N55" s="31" t="s">
        <v>780</v>
      </c>
      <c r="O55" s="9" t="n">
        <v>3.6</v>
      </c>
      <c r="P55" s="9" t="n">
        <v>3.6</v>
      </c>
      <c r="Q55" s="9" t="s">
        <v>316</v>
      </c>
    </row>
    <row r="56" customFormat="false" ht="39.75" hidden="false" customHeight="true" outlineLevel="0" collapsed="false">
      <c r="A56" s="10" t="s">
        <v>64</v>
      </c>
      <c r="B56" s="30" t="n">
        <v>6</v>
      </c>
      <c r="C56" s="30" t="s">
        <v>480</v>
      </c>
      <c r="D56" s="30" t="s">
        <v>28</v>
      </c>
      <c r="E56" s="30" t="s">
        <v>781</v>
      </c>
      <c r="F56" s="30" t="n">
        <v>10</v>
      </c>
      <c r="G56" s="30" t="n">
        <v>2025</v>
      </c>
      <c r="H56" s="10" t="s">
        <v>745</v>
      </c>
      <c r="I56" s="30" t="s">
        <v>19</v>
      </c>
      <c r="J56" s="30" t="s">
        <v>535</v>
      </c>
      <c r="K56" s="30" t="s">
        <v>782</v>
      </c>
      <c r="L56" s="30" t="s">
        <v>25</v>
      </c>
      <c r="M56" s="10" t="s">
        <v>783</v>
      </c>
      <c r="N56" s="31" t="s">
        <v>784</v>
      </c>
      <c r="O56" s="9" t="n">
        <v>250</v>
      </c>
      <c r="P56" s="9" t="n">
        <v>250</v>
      </c>
      <c r="Q56" s="9" t="s">
        <v>25</v>
      </c>
    </row>
    <row r="57" customFormat="false" ht="39.75" hidden="false" customHeight="true" outlineLevel="0" collapsed="false">
      <c r="A57" s="10" t="s">
        <v>64</v>
      </c>
      <c r="B57" s="30" t="n">
        <v>6</v>
      </c>
      <c r="C57" s="30" t="s">
        <v>480</v>
      </c>
      <c r="D57" s="30" t="s">
        <v>28</v>
      </c>
      <c r="E57" s="30" t="s">
        <v>785</v>
      </c>
      <c r="F57" s="30" t="n">
        <v>11</v>
      </c>
      <c r="G57" s="30" t="n">
        <v>2025</v>
      </c>
      <c r="H57" s="10" t="s">
        <v>745</v>
      </c>
      <c r="I57" s="30" t="s">
        <v>19</v>
      </c>
      <c r="J57" s="30" t="s">
        <v>535</v>
      </c>
      <c r="K57" s="30" t="s">
        <v>786</v>
      </c>
      <c r="L57" s="30" t="s">
        <v>38</v>
      </c>
      <c r="M57" s="10" t="s">
        <v>787</v>
      </c>
      <c r="N57" s="31" t="s">
        <v>788</v>
      </c>
      <c r="O57" s="9" t="n">
        <v>1.3</v>
      </c>
      <c r="P57" s="9" t="n">
        <v>1.3</v>
      </c>
      <c r="Q57" s="9" t="s">
        <v>38</v>
      </c>
    </row>
    <row r="58" customFormat="false" ht="39.75" hidden="false" customHeight="true" outlineLevel="0" collapsed="false">
      <c r="A58" s="10" t="s">
        <v>77</v>
      </c>
      <c r="B58" s="10" t="n">
        <v>8</v>
      </c>
      <c r="C58" s="10" t="s">
        <v>789</v>
      </c>
      <c r="D58" s="10" t="s">
        <v>28</v>
      </c>
      <c r="E58" s="10" t="s">
        <v>790</v>
      </c>
      <c r="F58" s="10" t="n">
        <v>1</v>
      </c>
      <c r="G58" s="10" t="n">
        <v>2015</v>
      </c>
      <c r="H58" s="10" t="s">
        <v>745</v>
      </c>
      <c r="I58" s="10" t="s">
        <v>73</v>
      </c>
      <c r="J58" s="10" t="s">
        <v>79</v>
      </c>
      <c r="K58" s="10" t="s">
        <v>791</v>
      </c>
      <c r="L58" s="10" t="s">
        <v>25</v>
      </c>
      <c r="M58" s="10" t="s">
        <v>792</v>
      </c>
      <c r="N58" s="5" t="s">
        <v>793</v>
      </c>
      <c r="O58" s="9" t="n">
        <v>2700</v>
      </c>
      <c r="P58" s="9" t="n">
        <v>378</v>
      </c>
      <c r="Q58" s="9" t="s">
        <v>25</v>
      </c>
    </row>
    <row r="59" customFormat="false" ht="39.75" hidden="false" customHeight="true" outlineLevel="0" collapsed="false">
      <c r="A59" s="10" t="s">
        <v>77</v>
      </c>
      <c r="B59" s="10" t="n">
        <v>8</v>
      </c>
      <c r="C59" s="10" t="s">
        <v>789</v>
      </c>
      <c r="D59" s="10" t="s">
        <v>28</v>
      </c>
      <c r="E59" s="10" t="s">
        <v>794</v>
      </c>
      <c r="F59" s="10" t="n">
        <v>2</v>
      </c>
      <c r="G59" s="10" t="n">
        <v>2015</v>
      </c>
      <c r="H59" s="10" t="s">
        <v>745</v>
      </c>
      <c r="I59" s="10" t="s">
        <v>73</v>
      </c>
      <c r="J59" s="10" t="s">
        <v>79</v>
      </c>
      <c r="K59" s="10" t="s">
        <v>795</v>
      </c>
      <c r="L59" s="10" t="s">
        <v>796</v>
      </c>
      <c r="M59" s="10" t="s">
        <v>797</v>
      </c>
      <c r="N59" s="5" t="s">
        <v>793</v>
      </c>
      <c r="O59" s="9" t="n">
        <v>4839</v>
      </c>
      <c r="P59" s="9" t="n">
        <v>677.46</v>
      </c>
      <c r="Q59" s="9" t="s">
        <v>25</v>
      </c>
    </row>
    <row r="60" customFormat="false" ht="39.75" hidden="false" customHeight="true" outlineLevel="0" collapsed="false">
      <c r="A60" s="10" t="s">
        <v>77</v>
      </c>
      <c r="B60" s="10" t="n">
        <v>8</v>
      </c>
      <c r="C60" s="10" t="s">
        <v>789</v>
      </c>
      <c r="D60" s="10" t="s">
        <v>28</v>
      </c>
      <c r="E60" s="10" t="s">
        <v>794</v>
      </c>
      <c r="F60" s="10" t="n">
        <v>3</v>
      </c>
      <c r="G60" s="10" t="n">
        <v>2015</v>
      </c>
      <c r="H60" s="10" t="s">
        <v>745</v>
      </c>
      <c r="I60" s="10" t="s">
        <v>73</v>
      </c>
      <c r="J60" s="10" t="s">
        <v>79</v>
      </c>
      <c r="K60" s="10" t="s">
        <v>798</v>
      </c>
      <c r="L60" s="10" t="s">
        <v>799</v>
      </c>
      <c r="M60" s="10" t="s">
        <v>800</v>
      </c>
      <c r="N60" s="5" t="s">
        <v>793</v>
      </c>
      <c r="O60" s="9" t="n">
        <v>1600</v>
      </c>
      <c r="P60" s="9" t="n">
        <v>224</v>
      </c>
      <c r="Q60" s="9" t="s">
        <v>25</v>
      </c>
    </row>
    <row r="61" customFormat="false" ht="39.75" hidden="false" customHeight="true" outlineLevel="0" collapsed="false">
      <c r="A61" s="10" t="s">
        <v>77</v>
      </c>
      <c r="B61" s="10" t="n">
        <v>8</v>
      </c>
      <c r="C61" s="10" t="s">
        <v>789</v>
      </c>
      <c r="D61" s="10" t="s">
        <v>28</v>
      </c>
      <c r="E61" s="10" t="s">
        <v>801</v>
      </c>
      <c r="F61" s="10" t="n">
        <v>4</v>
      </c>
      <c r="G61" s="10" t="n">
        <v>2016</v>
      </c>
      <c r="H61" s="10" t="s">
        <v>745</v>
      </c>
      <c r="I61" s="10" t="s">
        <v>73</v>
      </c>
      <c r="J61" s="10" t="s">
        <v>79</v>
      </c>
      <c r="K61" s="10" t="s">
        <v>802</v>
      </c>
      <c r="L61" s="10" t="s">
        <v>803</v>
      </c>
      <c r="M61" s="10" t="s">
        <v>804</v>
      </c>
      <c r="N61" s="5" t="s">
        <v>793</v>
      </c>
      <c r="O61" s="10" t="n">
        <v>600</v>
      </c>
      <c r="P61" s="9" t="n">
        <v>84</v>
      </c>
      <c r="Q61" s="9" t="s">
        <v>25</v>
      </c>
    </row>
    <row r="62" customFormat="false" ht="39.75" hidden="false" customHeight="true" outlineLevel="0" collapsed="false">
      <c r="A62" s="10" t="s">
        <v>77</v>
      </c>
      <c r="B62" s="10" t="n">
        <v>8</v>
      </c>
      <c r="C62" s="10" t="s">
        <v>789</v>
      </c>
      <c r="D62" s="10" t="s">
        <v>28</v>
      </c>
      <c r="E62" s="10" t="s">
        <v>805</v>
      </c>
      <c r="F62" s="10" t="n">
        <v>5</v>
      </c>
      <c r="G62" s="10" t="n">
        <v>2016</v>
      </c>
      <c r="H62" s="10" t="s">
        <v>745</v>
      </c>
      <c r="I62" s="10" t="s">
        <v>73</v>
      </c>
      <c r="J62" s="10" t="s">
        <v>79</v>
      </c>
      <c r="K62" s="10" t="s">
        <v>806</v>
      </c>
      <c r="L62" s="10" t="s">
        <v>25</v>
      </c>
      <c r="M62" s="10" t="s">
        <v>807</v>
      </c>
      <c r="N62" s="5" t="s">
        <v>793</v>
      </c>
      <c r="O62" s="9" t="n">
        <v>18900</v>
      </c>
      <c r="P62" s="9" t="n">
        <v>2646</v>
      </c>
      <c r="Q62" s="9" t="s">
        <v>25</v>
      </c>
    </row>
    <row r="63" customFormat="false" ht="39.75" hidden="false" customHeight="true" outlineLevel="0" collapsed="false">
      <c r="A63" s="10" t="s">
        <v>77</v>
      </c>
      <c r="B63" s="10" t="n">
        <v>8</v>
      </c>
      <c r="C63" s="10" t="s">
        <v>789</v>
      </c>
      <c r="D63" s="10" t="s">
        <v>28</v>
      </c>
      <c r="E63" s="10" t="s">
        <v>808</v>
      </c>
      <c r="F63" s="10" t="n">
        <v>6</v>
      </c>
      <c r="G63" s="10" t="n">
        <v>2016</v>
      </c>
      <c r="H63" s="10" t="s">
        <v>745</v>
      </c>
      <c r="I63" s="10" t="s">
        <v>73</v>
      </c>
      <c r="J63" s="10" t="s">
        <v>79</v>
      </c>
      <c r="K63" s="10" t="s">
        <v>809</v>
      </c>
      <c r="L63" s="10" t="s">
        <v>25</v>
      </c>
      <c r="M63" s="10" t="s">
        <v>810</v>
      </c>
      <c r="N63" s="5" t="s">
        <v>793</v>
      </c>
      <c r="O63" s="9" t="n">
        <v>4300</v>
      </c>
      <c r="P63" s="9" t="n">
        <v>602</v>
      </c>
      <c r="Q63" s="9" t="s">
        <v>25</v>
      </c>
    </row>
    <row r="64" customFormat="false" ht="39.75" hidden="false" customHeight="true" outlineLevel="0" collapsed="false">
      <c r="A64" s="10" t="s">
        <v>77</v>
      </c>
      <c r="B64" s="10" t="n">
        <v>8</v>
      </c>
      <c r="C64" s="10" t="s">
        <v>789</v>
      </c>
      <c r="D64" s="10" t="s">
        <v>28</v>
      </c>
      <c r="E64" s="10" t="s">
        <v>811</v>
      </c>
      <c r="F64" s="10" t="n">
        <v>7</v>
      </c>
      <c r="G64" s="10" t="n">
        <v>2016</v>
      </c>
      <c r="H64" s="10" t="s">
        <v>745</v>
      </c>
      <c r="I64" s="10" t="s">
        <v>73</v>
      </c>
      <c r="J64" s="10" t="s">
        <v>79</v>
      </c>
      <c r="K64" s="10" t="s">
        <v>812</v>
      </c>
      <c r="L64" s="10" t="s">
        <v>25</v>
      </c>
      <c r="M64" s="10" t="s">
        <v>813</v>
      </c>
      <c r="N64" s="5" t="s">
        <v>793</v>
      </c>
      <c r="O64" s="9" t="n">
        <v>11600</v>
      </c>
      <c r="P64" s="9" t="n">
        <v>1624</v>
      </c>
      <c r="Q64" s="9" t="s">
        <v>25</v>
      </c>
    </row>
    <row r="65" customFormat="false" ht="39.75" hidden="false" customHeight="true" outlineLevel="0" collapsed="false">
      <c r="A65" s="10" t="s">
        <v>77</v>
      </c>
      <c r="B65" s="10" t="n">
        <v>8</v>
      </c>
      <c r="C65" s="10" t="s">
        <v>789</v>
      </c>
      <c r="D65" s="10" t="s">
        <v>28</v>
      </c>
      <c r="E65" s="10" t="s">
        <v>814</v>
      </c>
      <c r="F65" s="10" t="n">
        <v>8</v>
      </c>
      <c r="G65" s="10" t="n">
        <v>2017</v>
      </c>
      <c r="H65" s="10" t="s">
        <v>745</v>
      </c>
      <c r="I65" s="10" t="s">
        <v>73</v>
      </c>
      <c r="J65" s="10" t="s">
        <v>79</v>
      </c>
      <c r="K65" s="10" t="s">
        <v>815</v>
      </c>
      <c r="L65" s="10" t="s">
        <v>25</v>
      </c>
      <c r="M65" s="10" t="s">
        <v>816</v>
      </c>
      <c r="N65" s="5" t="s">
        <v>793</v>
      </c>
      <c r="O65" s="9" t="n">
        <v>1400</v>
      </c>
      <c r="P65" s="9" t="n">
        <v>196</v>
      </c>
      <c r="Q65" s="9" t="s">
        <v>25</v>
      </c>
    </row>
    <row r="66" customFormat="false" ht="39.75" hidden="false" customHeight="true" outlineLevel="0" collapsed="false">
      <c r="A66" s="10" t="s">
        <v>77</v>
      </c>
      <c r="B66" s="10" t="n">
        <v>8</v>
      </c>
      <c r="C66" s="10" t="s">
        <v>789</v>
      </c>
      <c r="D66" s="10" t="s">
        <v>28</v>
      </c>
      <c r="E66" s="10" t="s">
        <v>817</v>
      </c>
      <c r="F66" s="10" t="n">
        <v>9</v>
      </c>
      <c r="G66" s="10" t="n">
        <v>2017</v>
      </c>
      <c r="H66" s="10" t="s">
        <v>745</v>
      </c>
      <c r="I66" s="10" t="s">
        <v>73</v>
      </c>
      <c r="J66" s="10" t="s">
        <v>79</v>
      </c>
      <c r="K66" s="10" t="s">
        <v>802</v>
      </c>
      <c r="L66" s="10" t="s">
        <v>25</v>
      </c>
      <c r="M66" s="10" t="s">
        <v>818</v>
      </c>
      <c r="N66" s="5" t="s">
        <v>793</v>
      </c>
      <c r="O66" s="9" t="n">
        <v>600</v>
      </c>
      <c r="P66" s="9" t="n">
        <v>84</v>
      </c>
      <c r="Q66" s="9" t="s">
        <v>25</v>
      </c>
    </row>
    <row r="67" customFormat="false" ht="39.75" hidden="false" customHeight="true" outlineLevel="0" collapsed="false">
      <c r="A67" s="10" t="s">
        <v>77</v>
      </c>
      <c r="B67" s="10" t="n">
        <v>8</v>
      </c>
      <c r="C67" s="10" t="s">
        <v>789</v>
      </c>
      <c r="D67" s="10" t="s">
        <v>28</v>
      </c>
      <c r="E67" s="10" t="s">
        <v>808</v>
      </c>
      <c r="F67" s="10" t="n">
        <v>10</v>
      </c>
      <c r="G67" s="10" t="n">
        <v>2017</v>
      </c>
      <c r="H67" s="10" t="s">
        <v>745</v>
      </c>
      <c r="I67" s="10" t="s">
        <v>73</v>
      </c>
      <c r="J67" s="10" t="s">
        <v>79</v>
      </c>
      <c r="K67" s="10" t="s">
        <v>819</v>
      </c>
      <c r="L67" s="10" t="s">
        <v>25</v>
      </c>
      <c r="M67" s="10" t="s">
        <v>820</v>
      </c>
      <c r="N67" s="5" t="s">
        <v>793</v>
      </c>
      <c r="O67" s="9" t="n">
        <v>6000</v>
      </c>
      <c r="P67" s="9" t="n">
        <v>840</v>
      </c>
      <c r="Q67" s="9" t="s">
        <v>25</v>
      </c>
    </row>
    <row r="68" customFormat="false" ht="39.75" hidden="false" customHeight="true" outlineLevel="0" collapsed="false">
      <c r="A68" s="10" t="s">
        <v>77</v>
      </c>
      <c r="B68" s="10" t="n">
        <v>8</v>
      </c>
      <c r="C68" s="10" t="s">
        <v>789</v>
      </c>
      <c r="D68" s="10" t="s">
        <v>28</v>
      </c>
      <c r="E68" s="10" t="s">
        <v>821</v>
      </c>
      <c r="F68" s="10" t="n">
        <v>11</v>
      </c>
      <c r="G68" s="10" t="n">
        <v>2018</v>
      </c>
      <c r="H68" s="10" t="s">
        <v>745</v>
      </c>
      <c r="I68" s="10" t="s">
        <v>73</v>
      </c>
      <c r="J68" s="10" t="s">
        <v>79</v>
      </c>
      <c r="K68" s="10" t="s">
        <v>819</v>
      </c>
      <c r="L68" s="10" t="s">
        <v>25</v>
      </c>
      <c r="M68" s="10" t="s">
        <v>822</v>
      </c>
      <c r="N68" s="5" t="s">
        <v>793</v>
      </c>
      <c r="O68" s="9" t="n">
        <v>6000</v>
      </c>
      <c r="P68" s="9" t="n">
        <v>840</v>
      </c>
      <c r="Q68" s="9" t="s">
        <v>25</v>
      </c>
    </row>
    <row r="69" customFormat="false" ht="39.75" hidden="false" customHeight="true" outlineLevel="0" collapsed="false">
      <c r="A69" s="10" t="s">
        <v>77</v>
      </c>
      <c r="B69" s="10" t="n">
        <v>8</v>
      </c>
      <c r="C69" s="10" t="s">
        <v>789</v>
      </c>
      <c r="D69" s="10" t="s">
        <v>28</v>
      </c>
      <c r="E69" s="10" t="s">
        <v>823</v>
      </c>
      <c r="F69" s="10" t="n">
        <v>12</v>
      </c>
      <c r="G69" s="10" t="n">
        <v>2018</v>
      </c>
      <c r="H69" s="10" t="s">
        <v>745</v>
      </c>
      <c r="I69" s="10" t="s">
        <v>73</v>
      </c>
      <c r="J69" s="10" t="s">
        <v>79</v>
      </c>
      <c r="K69" s="10" t="s">
        <v>824</v>
      </c>
      <c r="L69" s="10" t="s">
        <v>25</v>
      </c>
      <c r="M69" s="10" t="s">
        <v>825</v>
      </c>
      <c r="N69" s="5" t="s">
        <v>793</v>
      </c>
      <c r="O69" s="9" t="n">
        <v>2600</v>
      </c>
      <c r="P69" s="9" t="n">
        <v>364</v>
      </c>
      <c r="Q69" s="9" t="s">
        <v>25</v>
      </c>
    </row>
    <row r="70" customFormat="false" ht="39.75" hidden="false" customHeight="true" outlineLevel="0" collapsed="false">
      <c r="A70" s="10" t="s">
        <v>77</v>
      </c>
      <c r="B70" s="10" t="n">
        <v>8</v>
      </c>
      <c r="C70" s="10" t="s">
        <v>789</v>
      </c>
      <c r="D70" s="10" t="s">
        <v>28</v>
      </c>
      <c r="E70" s="10" t="s">
        <v>826</v>
      </c>
      <c r="F70" s="10" t="n">
        <v>13</v>
      </c>
      <c r="G70" s="10" t="n">
        <v>2018</v>
      </c>
      <c r="H70" s="10" t="s">
        <v>745</v>
      </c>
      <c r="I70" s="10" t="s">
        <v>73</v>
      </c>
      <c r="J70" s="10" t="s">
        <v>79</v>
      </c>
      <c r="K70" s="10" t="s">
        <v>827</v>
      </c>
      <c r="L70" s="10" t="s">
        <v>25</v>
      </c>
      <c r="M70" s="10" t="s">
        <v>828</v>
      </c>
      <c r="N70" s="5" t="s">
        <v>793</v>
      </c>
      <c r="O70" s="9" t="n">
        <v>3394</v>
      </c>
      <c r="P70" s="9" t="n">
        <v>475.16</v>
      </c>
      <c r="Q70" s="9" t="s">
        <v>25</v>
      </c>
    </row>
    <row r="71" customFormat="false" ht="39.75" hidden="false" customHeight="true" outlineLevel="0" collapsed="false">
      <c r="A71" s="10" t="s">
        <v>77</v>
      </c>
      <c r="B71" s="10" t="n">
        <v>8</v>
      </c>
      <c r="C71" s="10" t="s">
        <v>789</v>
      </c>
      <c r="D71" s="10" t="s">
        <v>28</v>
      </c>
      <c r="E71" s="10" t="s">
        <v>829</v>
      </c>
      <c r="F71" s="10" t="n">
        <v>14</v>
      </c>
      <c r="G71" s="10" t="n">
        <v>2018</v>
      </c>
      <c r="H71" s="10" t="s">
        <v>745</v>
      </c>
      <c r="I71" s="10" t="s">
        <v>73</v>
      </c>
      <c r="J71" s="10" t="s">
        <v>79</v>
      </c>
      <c r="K71" s="10" t="s">
        <v>830</v>
      </c>
      <c r="L71" s="10" t="s">
        <v>803</v>
      </c>
      <c r="M71" s="10" t="s">
        <v>831</v>
      </c>
      <c r="N71" s="5" t="s">
        <v>793</v>
      </c>
      <c r="O71" s="9" t="n">
        <v>500</v>
      </c>
      <c r="P71" s="9" t="n">
        <v>70</v>
      </c>
      <c r="Q71" s="9" t="s">
        <v>25</v>
      </c>
    </row>
    <row r="72" customFormat="false" ht="39.75" hidden="false" customHeight="true" outlineLevel="0" collapsed="false">
      <c r="A72" s="10" t="s">
        <v>77</v>
      </c>
      <c r="B72" s="10" t="n">
        <v>8</v>
      </c>
      <c r="C72" s="10" t="s">
        <v>789</v>
      </c>
      <c r="D72" s="10" t="s">
        <v>28</v>
      </c>
      <c r="E72" s="10" t="s">
        <v>832</v>
      </c>
      <c r="F72" s="10" t="n">
        <v>15</v>
      </c>
      <c r="G72" s="10" t="n">
        <v>2018</v>
      </c>
      <c r="H72" s="10" t="s">
        <v>745</v>
      </c>
      <c r="I72" s="10" t="s">
        <v>73</v>
      </c>
      <c r="J72" s="10" t="s">
        <v>79</v>
      </c>
      <c r="K72" s="10" t="s">
        <v>833</v>
      </c>
      <c r="L72" s="10" t="s">
        <v>25</v>
      </c>
      <c r="M72" s="10" t="s">
        <v>834</v>
      </c>
      <c r="N72" s="5" t="s">
        <v>793</v>
      </c>
      <c r="O72" s="9" t="n">
        <v>1071</v>
      </c>
      <c r="P72" s="9" t="n">
        <v>149.94</v>
      </c>
      <c r="Q72" s="9" t="s">
        <v>25</v>
      </c>
    </row>
    <row r="73" customFormat="false" ht="39.75" hidden="false" customHeight="true" outlineLevel="0" collapsed="false">
      <c r="A73" s="10" t="s">
        <v>77</v>
      </c>
      <c r="B73" s="10" t="n">
        <v>8</v>
      </c>
      <c r="C73" s="10" t="s">
        <v>789</v>
      </c>
      <c r="D73" s="10" t="s">
        <v>28</v>
      </c>
      <c r="E73" s="10" t="s">
        <v>835</v>
      </c>
      <c r="F73" s="10" t="n">
        <v>16</v>
      </c>
      <c r="G73" s="10" t="n">
        <v>2018</v>
      </c>
      <c r="H73" s="10" t="s">
        <v>745</v>
      </c>
      <c r="I73" s="10" t="s">
        <v>73</v>
      </c>
      <c r="J73" s="10" t="s">
        <v>79</v>
      </c>
      <c r="K73" s="10" t="s">
        <v>836</v>
      </c>
      <c r="L73" s="10" t="s">
        <v>803</v>
      </c>
      <c r="M73" s="10" t="s">
        <v>837</v>
      </c>
      <c r="N73" s="5" t="s">
        <v>793</v>
      </c>
      <c r="O73" s="9" t="n">
        <v>1000</v>
      </c>
      <c r="P73" s="9" t="n">
        <v>140</v>
      </c>
      <c r="Q73" s="9" t="s">
        <v>25</v>
      </c>
    </row>
    <row r="74" customFormat="false" ht="39.75" hidden="false" customHeight="true" outlineLevel="0" collapsed="false">
      <c r="A74" s="10" t="s">
        <v>77</v>
      </c>
      <c r="B74" s="10" t="n">
        <v>8</v>
      </c>
      <c r="C74" s="10" t="s">
        <v>789</v>
      </c>
      <c r="D74" s="10" t="s">
        <v>28</v>
      </c>
      <c r="E74" s="10" t="s">
        <v>805</v>
      </c>
      <c r="F74" s="10" t="n">
        <v>17</v>
      </c>
      <c r="G74" s="10" t="n">
        <v>2019</v>
      </c>
      <c r="H74" s="10" t="s">
        <v>745</v>
      </c>
      <c r="I74" s="10" t="s">
        <v>73</v>
      </c>
      <c r="J74" s="10" t="s">
        <v>79</v>
      </c>
      <c r="K74" s="10" t="s">
        <v>838</v>
      </c>
      <c r="L74" s="10" t="s">
        <v>25</v>
      </c>
      <c r="M74" s="10" t="s">
        <v>839</v>
      </c>
      <c r="N74" s="5" t="s">
        <v>793</v>
      </c>
      <c r="O74" s="9" t="n">
        <v>13500</v>
      </c>
      <c r="P74" s="9" t="n">
        <v>1890</v>
      </c>
      <c r="Q74" s="9" t="s">
        <v>25</v>
      </c>
    </row>
    <row r="75" customFormat="false" ht="39.75" hidden="false" customHeight="true" outlineLevel="0" collapsed="false">
      <c r="A75" s="10" t="s">
        <v>77</v>
      </c>
      <c r="B75" s="10" t="n">
        <v>8</v>
      </c>
      <c r="C75" s="10" t="s">
        <v>789</v>
      </c>
      <c r="D75" s="10" t="s">
        <v>28</v>
      </c>
      <c r="E75" s="10" t="s">
        <v>840</v>
      </c>
      <c r="F75" s="10" t="n">
        <v>18</v>
      </c>
      <c r="G75" s="10" t="n">
        <v>2015</v>
      </c>
      <c r="H75" s="10" t="s">
        <v>745</v>
      </c>
      <c r="I75" s="10" t="s">
        <v>73</v>
      </c>
      <c r="J75" s="10" t="s">
        <v>79</v>
      </c>
      <c r="K75" s="10" t="s">
        <v>841</v>
      </c>
      <c r="L75" s="10" t="s">
        <v>44</v>
      </c>
      <c r="M75" s="10" t="s">
        <v>842</v>
      </c>
      <c r="N75" s="5" t="s">
        <v>793</v>
      </c>
      <c r="O75" s="9" t="n">
        <v>10000</v>
      </c>
      <c r="P75" s="9" t="n">
        <v>1400</v>
      </c>
      <c r="Q75" s="9" t="s">
        <v>44</v>
      </c>
    </row>
    <row r="76" customFormat="false" ht="39.75" hidden="false" customHeight="true" outlineLevel="0" collapsed="false">
      <c r="A76" s="10" t="s">
        <v>77</v>
      </c>
      <c r="B76" s="10" t="n">
        <v>8</v>
      </c>
      <c r="C76" s="10" t="s">
        <v>789</v>
      </c>
      <c r="D76" s="10" t="s">
        <v>28</v>
      </c>
      <c r="E76" s="10" t="s">
        <v>843</v>
      </c>
      <c r="F76" s="10" t="n">
        <v>19</v>
      </c>
      <c r="G76" s="10" t="n">
        <v>2015</v>
      </c>
      <c r="H76" s="10" t="s">
        <v>745</v>
      </c>
      <c r="I76" s="10" t="s">
        <v>73</v>
      </c>
      <c r="J76" s="10" t="s">
        <v>79</v>
      </c>
      <c r="K76" s="10" t="s">
        <v>830</v>
      </c>
      <c r="L76" s="10" t="s">
        <v>44</v>
      </c>
      <c r="M76" s="10" t="s">
        <v>844</v>
      </c>
      <c r="N76" s="5" t="s">
        <v>793</v>
      </c>
      <c r="O76" s="9" t="n">
        <v>500</v>
      </c>
      <c r="P76" s="9" t="n">
        <v>70</v>
      </c>
      <c r="Q76" s="9" t="s">
        <v>44</v>
      </c>
    </row>
    <row r="77" customFormat="false" ht="39.75" hidden="false" customHeight="true" outlineLevel="0" collapsed="false">
      <c r="A77" s="10" t="s">
        <v>77</v>
      </c>
      <c r="B77" s="10" t="n">
        <v>8</v>
      </c>
      <c r="C77" s="10" t="s">
        <v>789</v>
      </c>
      <c r="D77" s="10" t="s">
        <v>28</v>
      </c>
      <c r="E77" s="10" t="s">
        <v>845</v>
      </c>
      <c r="F77" s="10" t="n">
        <v>20</v>
      </c>
      <c r="G77" s="10" t="n">
        <v>2015</v>
      </c>
      <c r="H77" s="10" t="s">
        <v>745</v>
      </c>
      <c r="I77" s="10" t="s">
        <v>73</v>
      </c>
      <c r="J77" s="10" t="s">
        <v>79</v>
      </c>
      <c r="K77" s="10" t="s">
        <v>846</v>
      </c>
      <c r="L77" s="10" t="s">
        <v>44</v>
      </c>
      <c r="M77" s="10" t="s">
        <v>847</v>
      </c>
      <c r="N77" s="5" t="s">
        <v>793</v>
      </c>
      <c r="O77" s="9" t="n">
        <v>400</v>
      </c>
      <c r="P77" s="9" t="n">
        <v>56</v>
      </c>
      <c r="Q77" s="9" t="s">
        <v>44</v>
      </c>
    </row>
    <row r="78" customFormat="false" ht="39.75" hidden="false" customHeight="true" outlineLevel="0" collapsed="false">
      <c r="A78" s="10" t="s">
        <v>77</v>
      </c>
      <c r="B78" s="10" t="n">
        <v>8</v>
      </c>
      <c r="C78" s="10" t="s">
        <v>789</v>
      </c>
      <c r="D78" s="10" t="s">
        <v>28</v>
      </c>
      <c r="E78" s="10" t="s">
        <v>848</v>
      </c>
      <c r="F78" s="10" t="n">
        <v>21</v>
      </c>
      <c r="G78" s="10" t="n">
        <v>2015</v>
      </c>
      <c r="H78" s="10" t="s">
        <v>745</v>
      </c>
      <c r="I78" s="10" t="s">
        <v>73</v>
      </c>
      <c r="J78" s="10" t="s">
        <v>79</v>
      </c>
      <c r="K78" s="10" t="s">
        <v>849</v>
      </c>
      <c r="L78" s="10" t="s">
        <v>44</v>
      </c>
      <c r="M78" s="10" t="s">
        <v>850</v>
      </c>
      <c r="N78" s="5" t="s">
        <v>793</v>
      </c>
      <c r="O78" s="9" t="n">
        <v>1500</v>
      </c>
      <c r="P78" s="9" t="n">
        <v>210</v>
      </c>
      <c r="Q78" s="9" t="s">
        <v>44</v>
      </c>
    </row>
    <row r="79" customFormat="false" ht="39.75" hidden="false" customHeight="true" outlineLevel="0" collapsed="false">
      <c r="A79" s="10" t="s">
        <v>77</v>
      </c>
      <c r="B79" s="10" t="n">
        <v>8</v>
      </c>
      <c r="C79" s="10" t="s">
        <v>789</v>
      </c>
      <c r="D79" s="10" t="s">
        <v>28</v>
      </c>
      <c r="E79" s="10" t="s">
        <v>851</v>
      </c>
      <c r="F79" s="10" t="n">
        <v>22</v>
      </c>
      <c r="G79" s="10" t="n">
        <v>2015</v>
      </c>
      <c r="H79" s="10" t="s">
        <v>745</v>
      </c>
      <c r="I79" s="10" t="s">
        <v>73</v>
      </c>
      <c r="J79" s="10" t="s">
        <v>79</v>
      </c>
      <c r="K79" s="10" t="s">
        <v>852</v>
      </c>
      <c r="L79" s="10" t="s">
        <v>44</v>
      </c>
      <c r="M79" s="10" t="s">
        <v>853</v>
      </c>
      <c r="N79" s="5" t="s">
        <v>793</v>
      </c>
      <c r="O79" s="9" t="n">
        <v>2400</v>
      </c>
      <c r="P79" s="9" t="n">
        <v>336</v>
      </c>
      <c r="Q79" s="9" t="s">
        <v>44</v>
      </c>
    </row>
    <row r="80" customFormat="false" ht="39.75" hidden="false" customHeight="true" outlineLevel="0" collapsed="false">
      <c r="A80" s="10" t="s">
        <v>77</v>
      </c>
      <c r="B80" s="10" t="n">
        <v>8</v>
      </c>
      <c r="C80" s="10" t="s">
        <v>789</v>
      </c>
      <c r="D80" s="10" t="s">
        <v>28</v>
      </c>
      <c r="E80" s="10" t="s">
        <v>854</v>
      </c>
      <c r="F80" s="10" t="n">
        <v>23</v>
      </c>
      <c r="G80" s="10" t="n">
        <v>2016</v>
      </c>
      <c r="H80" s="10" t="s">
        <v>745</v>
      </c>
      <c r="I80" s="10" t="s">
        <v>73</v>
      </c>
      <c r="J80" s="10" t="s">
        <v>79</v>
      </c>
      <c r="K80" s="10" t="s">
        <v>855</v>
      </c>
      <c r="L80" s="10" t="s">
        <v>44</v>
      </c>
      <c r="M80" s="10" t="s">
        <v>856</v>
      </c>
      <c r="N80" s="5" t="s">
        <v>793</v>
      </c>
      <c r="O80" s="9" t="n">
        <v>3300</v>
      </c>
      <c r="P80" s="9" t="n">
        <v>462</v>
      </c>
      <c r="Q80" s="9" t="s">
        <v>44</v>
      </c>
    </row>
    <row r="81" customFormat="false" ht="39.75" hidden="false" customHeight="true" outlineLevel="0" collapsed="false">
      <c r="A81" s="10" t="s">
        <v>77</v>
      </c>
      <c r="B81" s="10" t="n">
        <v>8</v>
      </c>
      <c r="C81" s="10" t="s">
        <v>789</v>
      </c>
      <c r="D81" s="10" t="s">
        <v>28</v>
      </c>
      <c r="E81" s="10" t="s">
        <v>857</v>
      </c>
      <c r="F81" s="10" t="n">
        <v>24</v>
      </c>
      <c r="G81" s="10" t="n">
        <v>2016</v>
      </c>
      <c r="H81" s="10" t="s">
        <v>745</v>
      </c>
      <c r="I81" s="10" t="s">
        <v>73</v>
      </c>
      <c r="J81" s="10" t="s">
        <v>79</v>
      </c>
      <c r="K81" s="10" t="s">
        <v>858</v>
      </c>
      <c r="L81" s="10" t="s">
        <v>859</v>
      </c>
      <c r="M81" s="10" t="s">
        <v>860</v>
      </c>
      <c r="N81" s="5" t="s">
        <v>793</v>
      </c>
      <c r="O81" s="9" t="n">
        <v>190</v>
      </c>
      <c r="P81" s="9" t="n">
        <v>26.6</v>
      </c>
      <c r="Q81" s="9" t="s">
        <v>44</v>
      </c>
    </row>
    <row r="82" customFormat="false" ht="39.75" hidden="false" customHeight="true" outlineLevel="0" collapsed="false">
      <c r="A82" s="10" t="s">
        <v>77</v>
      </c>
      <c r="B82" s="10" t="n">
        <v>8</v>
      </c>
      <c r="C82" s="10" t="s">
        <v>789</v>
      </c>
      <c r="D82" s="10" t="s">
        <v>28</v>
      </c>
      <c r="E82" s="10" t="s">
        <v>861</v>
      </c>
      <c r="F82" s="10" t="n">
        <v>25</v>
      </c>
      <c r="G82" s="10" t="n">
        <v>2017</v>
      </c>
      <c r="H82" s="10" t="s">
        <v>745</v>
      </c>
      <c r="I82" s="10" t="s">
        <v>73</v>
      </c>
      <c r="J82" s="10" t="s">
        <v>79</v>
      </c>
      <c r="K82" s="10" t="s">
        <v>862</v>
      </c>
      <c r="L82" s="10" t="s">
        <v>863</v>
      </c>
      <c r="M82" s="10" t="s">
        <v>864</v>
      </c>
      <c r="N82" s="5" t="s">
        <v>793</v>
      </c>
      <c r="O82" s="9" t="n">
        <v>1450</v>
      </c>
      <c r="P82" s="9" t="n">
        <v>203</v>
      </c>
      <c r="Q82" s="9" t="s">
        <v>44</v>
      </c>
    </row>
    <row r="83" customFormat="false" ht="39.75" hidden="false" customHeight="true" outlineLevel="0" collapsed="false">
      <c r="A83" s="10" t="s">
        <v>77</v>
      </c>
      <c r="B83" s="10" t="n">
        <v>8</v>
      </c>
      <c r="C83" s="10" t="s">
        <v>789</v>
      </c>
      <c r="D83" s="10" t="s">
        <v>28</v>
      </c>
      <c r="E83" s="10" t="s">
        <v>865</v>
      </c>
      <c r="F83" s="10" t="n">
        <v>26</v>
      </c>
      <c r="G83" s="10" t="n">
        <v>2017</v>
      </c>
      <c r="H83" s="10" t="s">
        <v>745</v>
      </c>
      <c r="I83" s="10" t="s">
        <v>73</v>
      </c>
      <c r="J83" s="10" t="s">
        <v>79</v>
      </c>
      <c r="K83" s="10" t="s">
        <v>866</v>
      </c>
      <c r="L83" s="10" t="s">
        <v>44</v>
      </c>
      <c r="M83" s="10" t="s">
        <v>867</v>
      </c>
      <c r="N83" s="5" t="s">
        <v>793</v>
      </c>
      <c r="O83" s="9" t="n">
        <v>2830</v>
      </c>
      <c r="P83" s="9" t="n">
        <v>396.2</v>
      </c>
      <c r="Q83" s="9" t="s">
        <v>44</v>
      </c>
    </row>
    <row r="84" customFormat="false" ht="39.75" hidden="false" customHeight="true" outlineLevel="0" collapsed="false">
      <c r="A84" s="10" t="s">
        <v>77</v>
      </c>
      <c r="B84" s="10" t="n">
        <v>8</v>
      </c>
      <c r="C84" s="10" t="s">
        <v>789</v>
      </c>
      <c r="D84" s="10" t="s">
        <v>28</v>
      </c>
      <c r="E84" s="10" t="s">
        <v>868</v>
      </c>
      <c r="F84" s="10" t="n">
        <v>27</v>
      </c>
      <c r="G84" s="10" t="n">
        <v>2018</v>
      </c>
      <c r="H84" s="10" t="s">
        <v>745</v>
      </c>
      <c r="I84" s="10" t="s">
        <v>73</v>
      </c>
      <c r="J84" s="10" t="s">
        <v>79</v>
      </c>
      <c r="K84" s="10" t="s">
        <v>869</v>
      </c>
      <c r="L84" s="10" t="s">
        <v>863</v>
      </c>
      <c r="M84" s="10" t="s">
        <v>870</v>
      </c>
      <c r="N84" s="5" t="s">
        <v>793</v>
      </c>
      <c r="O84" s="9" t="n">
        <v>1170</v>
      </c>
      <c r="P84" s="9" t="n">
        <v>163.8</v>
      </c>
      <c r="Q84" s="9" t="s">
        <v>44</v>
      </c>
    </row>
    <row r="85" customFormat="false" ht="39.75" hidden="false" customHeight="true" outlineLevel="0" collapsed="false">
      <c r="A85" s="10" t="s">
        <v>77</v>
      </c>
      <c r="B85" s="10" t="n">
        <v>8</v>
      </c>
      <c r="C85" s="10" t="s">
        <v>789</v>
      </c>
      <c r="D85" s="10" t="s">
        <v>28</v>
      </c>
      <c r="E85" s="10" t="s">
        <v>871</v>
      </c>
      <c r="F85" s="10" t="n">
        <v>28</v>
      </c>
      <c r="G85" s="10" t="n">
        <v>2018</v>
      </c>
      <c r="H85" s="10" t="s">
        <v>745</v>
      </c>
      <c r="I85" s="10" t="s">
        <v>73</v>
      </c>
      <c r="J85" s="10" t="s">
        <v>79</v>
      </c>
      <c r="K85" s="10" t="s">
        <v>872</v>
      </c>
      <c r="L85" s="10" t="s">
        <v>863</v>
      </c>
      <c r="M85" s="10" t="s">
        <v>873</v>
      </c>
      <c r="N85" s="5" t="s">
        <v>793</v>
      </c>
      <c r="O85" s="10" t="s">
        <v>17</v>
      </c>
      <c r="P85" s="10" t="s">
        <v>17</v>
      </c>
      <c r="Q85" s="9" t="s">
        <v>44</v>
      </c>
    </row>
    <row r="86" customFormat="false" ht="39.75" hidden="false" customHeight="true" outlineLevel="0" collapsed="false">
      <c r="A86" s="10" t="s">
        <v>77</v>
      </c>
      <c r="B86" s="10" t="n">
        <v>8</v>
      </c>
      <c r="C86" s="10" t="s">
        <v>789</v>
      </c>
      <c r="D86" s="10" t="s">
        <v>28</v>
      </c>
      <c r="E86" s="10" t="s">
        <v>874</v>
      </c>
      <c r="F86" s="10" t="n">
        <v>29</v>
      </c>
      <c r="G86" s="10" t="n">
        <v>2019</v>
      </c>
      <c r="H86" s="10" t="s">
        <v>745</v>
      </c>
      <c r="I86" s="10" t="s">
        <v>73</v>
      </c>
      <c r="J86" s="10" t="s">
        <v>79</v>
      </c>
      <c r="K86" s="10" t="s">
        <v>875</v>
      </c>
      <c r="L86" s="10" t="s">
        <v>876</v>
      </c>
      <c r="M86" s="10" t="s">
        <v>877</v>
      </c>
      <c r="N86" s="5" t="s">
        <v>793</v>
      </c>
      <c r="O86" s="9" t="n">
        <v>150</v>
      </c>
      <c r="P86" s="9" t="n">
        <v>21</v>
      </c>
      <c r="Q86" s="9" t="s">
        <v>44</v>
      </c>
    </row>
    <row r="87" customFormat="false" ht="39.75" hidden="false" customHeight="true" outlineLevel="0" collapsed="false">
      <c r="A87" s="10" t="s">
        <v>77</v>
      </c>
      <c r="B87" s="10" t="n">
        <v>8</v>
      </c>
      <c r="C87" s="10" t="s">
        <v>789</v>
      </c>
      <c r="D87" s="10" t="s">
        <v>28</v>
      </c>
      <c r="E87" s="10" t="s">
        <v>878</v>
      </c>
      <c r="F87" s="10" t="n">
        <v>30</v>
      </c>
      <c r="G87" s="10" t="n">
        <v>2014</v>
      </c>
      <c r="H87" s="10" t="s">
        <v>745</v>
      </c>
      <c r="I87" s="10" t="s">
        <v>73</v>
      </c>
      <c r="J87" s="10" t="s">
        <v>879</v>
      </c>
      <c r="K87" s="10" t="s">
        <v>880</v>
      </c>
      <c r="L87" s="10" t="s">
        <v>286</v>
      </c>
      <c r="M87" s="10" t="s">
        <v>881</v>
      </c>
      <c r="N87" s="5" t="s">
        <v>793</v>
      </c>
      <c r="O87" s="9" t="n">
        <v>2031</v>
      </c>
      <c r="P87" s="9" t="n">
        <v>284.34</v>
      </c>
      <c r="Q87" s="9" t="s">
        <v>286</v>
      </c>
    </row>
    <row r="88" customFormat="false" ht="39.75" hidden="false" customHeight="true" outlineLevel="0" collapsed="false">
      <c r="A88" s="10" t="s">
        <v>77</v>
      </c>
      <c r="B88" s="10" t="n">
        <v>8</v>
      </c>
      <c r="C88" s="10" t="s">
        <v>789</v>
      </c>
      <c r="D88" s="10" t="s">
        <v>28</v>
      </c>
      <c r="E88" s="10" t="s">
        <v>882</v>
      </c>
      <c r="F88" s="10" t="n">
        <v>31</v>
      </c>
      <c r="G88" s="10" t="n">
        <v>2015</v>
      </c>
      <c r="H88" s="10" t="s">
        <v>745</v>
      </c>
      <c r="I88" s="10" t="s">
        <v>73</v>
      </c>
      <c r="J88" s="10" t="s">
        <v>79</v>
      </c>
      <c r="K88" s="10" t="s">
        <v>830</v>
      </c>
      <c r="L88" s="10" t="s">
        <v>286</v>
      </c>
      <c r="M88" s="10" t="s">
        <v>883</v>
      </c>
      <c r="N88" s="5" t="s">
        <v>793</v>
      </c>
      <c r="O88" s="9" t="n">
        <v>500</v>
      </c>
      <c r="P88" s="9" t="n">
        <v>70</v>
      </c>
      <c r="Q88" s="9" t="s">
        <v>286</v>
      </c>
    </row>
    <row r="89" customFormat="false" ht="39.75" hidden="false" customHeight="true" outlineLevel="0" collapsed="false">
      <c r="A89" s="10" t="s">
        <v>77</v>
      </c>
      <c r="B89" s="10" t="n">
        <v>8</v>
      </c>
      <c r="C89" s="10" t="s">
        <v>789</v>
      </c>
      <c r="D89" s="10" t="s">
        <v>28</v>
      </c>
      <c r="E89" s="10" t="s">
        <v>884</v>
      </c>
      <c r="F89" s="10" t="n">
        <v>32</v>
      </c>
      <c r="G89" s="10" t="n">
        <v>2015</v>
      </c>
      <c r="H89" s="10" t="s">
        <v>745</v>
      </c>
      <c r="I89" s="10" t="s">
        <v>73</v>
      </c>
      <c r="J89" s="10" t="s">
        <v>79</v>
      </c>
      <c r="K89" s="10" t="s">
        <v>885</v>
      </c>
      <c r="L89" s="10" t="s">
        <v>286</v>
      </c>
      <c r="M89" s="10" t="s">
        <v>886</v>
      </c>
      <c r="N89" s="5" t="s">
        <v>793</v>
      </c>
      <c r="O89" s="9" t="n">
        <v>1083</v>
      </c>
      <c r="P89" s="9" t="n">
        <v>151.62</v>
      </c>
      <c r="Q89" s="9" t="s">
        <v>286</v>
      </c>
    </row>
    <row r="90" customFormat="false" ht="39.75" hidden="false" customHeight="true" outlineLevel="0" collapsed="false">
      <c r="A90" s="10" t="s">
        <v>77</v>
      </c>
      <c r="B90" s="10" t="n">
        <v>8</v>
      </c>
      <c r="C90" s="10" t="s">
        <v>789</v>
      </c>
      <c r="D90" s="10" t="s">
        <v>28</v>
      </c>
      <c r="E90" s="10" t="s">
        <v>887</v>
      </c>
      <c r="F90" s="10" t="n">
        <v>33</v>
      </c>
      <c r="G90" s="10" t="n">
        <v>2015</v>
      </c>
      <c r="H90" s="10" t="s">
        <v>745</v>
      </c>
      <c r="I90" s="10" t="s">
        <v>73</v>
      </c>
      <c r="J90" s="10" t="s">
        <v>879</v>
      </c>
      <c r="K90" s="10" t="s">
        <v>888</v>
      </c>
      <c r="L90" s="10" t="s">
        <v>286</v>
      </c>
      <c r="M90" s="10" t="s">
        <v>889</v>
      </c>
      <c r="N90" s="5" t="s">
        <v>793</v>
      </c>
      <c r="O90" s="9" t="n">
        <v>1800</v>
      </c>
      <c r="P90" s="9" t="n">
        <v>252</v>
      </c>
      <c r="Q90" s="9" t="s">
        <v>286</v>
      </c>
    </row>
    <row r="91" customFormat="false" ht="39.75" hidden="false" customHeight="true" outlineLevel="0" collapsed="false">
      <c r="A91" s="10" t="s">
        <v>77</v>
      </c>
      <c r="B91" s="10" t="n">
        <v>8</v>
      </c>
      <c r="C91" s="10" t="s">
        <v>789</v>
      </c>
      <c r="D91" s="10" t="s">
        <v>28</v>
      </c>
      <c r="E91" s="10" t="s">
        <v>890</v>
      </c>
      <c r="F91" s="10" t="n">
        <v>34</v>
      </c>
      <c r="G91" s="10" t="n">
        <v>2017</v>
      </c>
      <c r="H91" s="10" t="s">
        <v>745</v>
      </c>
      <c r="I91" s="10" t="s">
        <v>73</v>
      </c>
      <c r="J91" s="10" t="s">
        <v>79</v>
      </c>
      <c r="K91" s="10" t="s">
        <v>891</v>
      </c>
      <c r="L91" s="10" t="s">
        <v>286</v>
      </c>
      <c r="M91" s="10" t="s">
        <v>892</v>
      </c>
      <c r="N91" s="5" t="s">
        <v>793</v>
      </c>
      <c r="O91" s="9" t="n">
        <v>680</v>
      </c>
      <c r="P91" s="9" t="n">
        <v>95.2</v>
      </c>
      <c r="Q91" s="9" t="s">
        <v>286</v>
      </c>
    </row>
    <row r="92" customFormat="false" ht="39.75" hidden="false" customHeight="true" outlineLevel="0" collapsed="false">
      <c r="A92" s="10" t="s">
        <v>77</v>
      </c>
      <c r="B92" s="10" t="n">
        <v>8</v>
      </c>
      <c r="C92" s="10" t="s">
        <v>789</v>
      </c>
      <c r="D92" s="10" t="s">
        <v>28</v>
      </c>
      <c r="E92" s="10" t="s">
        <v>893</v>
      </c>
      <c r="F92" s="10" t="n">
        <v>35</v>
      </c>
      <c r="G92" s="10" t="n">
        <v>2018</v>
      </c>
      <c r="H92" s="10" t="s">
        <v>745</v>
      </c>
      <c r="I92" s="10" t="s">
        <v>73</v>
      </c>
      <c r="J92" s="10" t="s">
        <v>79</v>
      </c>
      <c r="K92" s="10" t="s">
        <v>894</v>
      </c>
      <c r="L92" s="10" t="s">
        <v>286</v>
      </c>
      <c r="M92" s="10" t="s">
        <v>895</v>
      </c>
      <c r="N92" s="5" t="s">
        <v>793</v>
      </c>
      <c r="O92" s="9" t="n">
        <v>969</v>
      </c>
      <c r="P92" s="9" t="n">
        <v>135.66</v>
      </c>
      <c r="Q92" s="9" t="s">
        <v>286</v>
      </c>
    </row>
    <row r="93" customFormat="false" ht="39.75" hidden="false" customHeight="true" outlineLevel="0" collapsed="false">
      <c r="A93" s="10" t="s">
        <v>77</v>
      </c>
      <c r="B93" s="10" t="n">
        <v>8</v>
      </c>
      <c r="C93" s="10" t="s">
        <v>789</v>
      </c>
      <c r="D93" s="10" t="s">
        <v>28</v>
      </c>
      <c r="E93" s="10" t="s">
        <v>893</v>
      </c>
      <c r="F93" s="10" t="n">
        <v>36</v>
      </c>
      <c r="G93" s="10" t="n">
        <v>2018</v>
      </c>
      <c r="H93" s="10" t="s">
        <v>745</v>
      </c>
      <c r="I93" s="10" t="s">
        <v>73</v>
      </c>
      <c r="J93" s="10" t="s">
        <v>79</v>
      </c>
      <c r="K93" s="10" t="s">
        <v>896</v>
      </c>
      <c r="L93" s="10" t="s">
        <v>286</v>
      </c>
      <c r="M93" s="10" t="s">
        <v>897</v>
      </c>
      <c r="N93" s="5" t="s">
        <v>793</v>
      </c>
      <c r="O93" s="9" t="n">
        <v>640</v>
      </c>
      <c r="P93" s="9" t="n">
        <v>89.6</v>
      </c>
      <c r="Q93" s="9" t="s">
        <v>286</v>
      </c>
    </row>
    <row r="94" customFormat="false" ht="39.75" hidden="false" customHeight="true" outlineLevel="0" collapsed="false">
      <c r="A94" s="10" t="s">
        <v>77</v>
      </c>
      <c r="B94" s="10" t="n">
        <v>8</v>
      </c>
      <c r="C94" s="10" t="s">
        <v>789</v>
      </c>
      <c r="D94" s="10" t="s">
        <v>28</v>
      </c>
      <c r="E94" s="10" t="s">
        <v>898</v>
      </c>
      <c r="F94" s="10" t="n">
        <v>37</v>
      </c>
      <c r="G94" s="10" t="n">
        <v>2018</v>
      </c>
      <c r="H94" s="10" t="s">
        <v>745</v>
      </c>
      <c r="I94" s="10" t="s">
        <v>73</v>
      </c>
      <c r="J94" s="10" t="s">
        <v>79</v>
      </c>
      <c r="K94" s="10" t="s">
        <v>899</v>
      </c>
      <c r="L94" s="10" t="s">
        <v>286</v>
      </c>
      <c r="M94" s="10" t="s">
        <v>900</v>
      </c>
      <c r="N94" s="5" t="s">
        <v>793</v>
      </c>
      <c r="O94" s="9" t="n">
        <v>2900</v>
      </c>
      <c r="P94" s="9" t="n">
        <v>406</v>
      </c>
      <c r="Q94" s="9" t="s">
        <v>286</v>
      </c>
    </row>
    <row r="95" customFormat="false" ht="39.75" hidden="false" customHeight="true" outlineLevel="0" collapsed="false">
      <c r="A95" s="10" t="s">
        <v>77</v>
      </c>
      <c r="B95" s="10" t="n">
        <v>8</v>
      </c>
      <c r="C95" s="10" t="s">
        <v>789</v>
      </c>
      <c r="D95" s="10" t="s">
        <v>28</v>
      </c>
      <c r="E95" s="10" t="s">
        <v>901</v>
      </c>
      <c r="F95" s="10" t="n">
        <v>38</v>
      </c>
      <c r="G95" s="10" t="n">
        <v>2018</v>
      </c>
      <c r="H95" s="10" t="s">
        <v>745</v>
      </c>
      <c r="I95" s="10" t="s">
        <v>73</v>
      </c>
      <c r="J95" s="10" t="s">
        <v>879</v>
      </c>
      <c r="K95" s="10" t="s">
        <v>902</v>
      </c>
      <c r="L95" s="10" t="s">
        <v>286</v>
      </c>
      <c r="M95" s="10" t="s">
        <v>903</v>
      </c>
      <c r="N95" s="5" t="s">
        <v>793</v>
      </c>
      <c r="O95" s="9" t="n">
        <v>949</v>
      </c>
      <c r="P95" s="9" t="n">
        <v>132.86</v>
      </c>
      <c r="Q95" s="9" t="s">
        <v>286</v>
      </c>
    </row>
    <row r="96" customFormat="false" ht="39.75" hidden="false" customHeight="true" outlineLevel="0" collapsed="false">
      <c r="A96" s="10" t="s">
        <v>77</v>
      </c>
      <c r="B96" s="10" t="n">
        <v>8</v>
      </c>
      <c r="C96" s="10" t="s">
        <v>789</v>
      </c>
      <c r="D96" s="10" t="s">
        <v>28</v>
      </c>
      <c r="E96" s="10" t="s">
        <v>904</v>
      </c>
      <c r="F96" s="10" t="n">
        <v>39</v>
      </c>
      <c r="G96" s="10" t="n">
        <v>2015</v>
      </c>
      <c r="H96" s="10" t="s">
        <v>745</v>
      </c>
      <c r="I96" s="10" t="s">
        <v>73</v>
      </c>
      <c r="J96" s="10" t="s">
        <v>79</v>
      </c>
      <c r="K96" s="10" t="s">
        <v>830</v>
      </c>
      <c r="L96" s="10" t="s">
        <v>110</v>
      </c>
      <c r="M96" s="10" t="s">
        <v>905</v>
      </c>
      <c r="N96" s="5" t="s">
        <v>793</v>
      </c>
      <c r="O96" s="9" t="n">
        <v>500</v>
      </c>
      <c r="P96" s="9" t="n">
        <v>70</v>
      </c>
      <c r="Q96" s="9" t="s">
        <v>110</v>
      </c>
    </row>
    <row r="97" customFormat="false" ht="39.75" hidden="false" customHeight="true" outlineLevel="0" collapsed="false">
      <c r="A97" s="10" t="s">
        <v>77</v>
      </c>
      <c r="B97" s="10" t="n">
        <v>8</v>
      </c>
      <c r="C97" s="10" t="s">
        <v>789</v>
      </c>
      <c r="D97" s="10" t="s">
        <v>28</v>
      </c>
      <c r="E97" s="10" t="s">
        <v>906</v>
      </c>
      <c r="F97" s="10" t="n">
        <v>40</v>
      </c>
      <c r="G97" s="10" t="n">
        <v>2016</v>
      </c>
      <c r="H97" s="10" t="s">
        <v>745</v>
      </c>
      <c r="I97" s="10" t="s">
        <v>73</v>
      </c>
      <c r="J97" s="10" t="s">
        <v>79</v>
      </c>
      <c r="K97" s="10" t="s">
        <v>907</v>
      </c>
      <c r="L97" s="10" t="s">
        <v>110</v>
      </c>
      <c r="M97" s="10" t="s">
        <v>908</v>
      </c>
      <c r="N97" s="5" t="s">
        <v>793</v>
      </c>
      <c r="O97" s="9" t="n">
        <v>309</v>
      </c>
      <c r="P97" s="9" t="n">
        <v>43.26</v>
      </c>
      <c r="Q97" s="9" t="s">
        <v>110</v>
      </c>
    </row>
    <row r="98" customFormat="false" ht="39.75" hidden="false" customHeight="true" outlineLevel="0" collapsed="false">
      <c r="A98" s="10" t="s">
        <v>77</v>
      </c>
      <c r="B98" s="10" t="n">
        <v>8</v>
      </c>
      <c r="C98" s="10" t="s">
        <v>789</v>
      </c>
      <c r="D98" s="10" t="s">
        <v>28</v>
      </c>
      <c r="E98" s="10" t="s">
        <v>909</v>
      </c>
      <c r="F98" s="10" t="n">
        <v>41</v>
      </c>
      <c r="G98" s="10" t="n">
        <v>2016</v>
      </c>
      <c r="H98" s="10" t="s">
        <v>745</v>
      </c>
      <c r="I98" s="10" t="s">
        <v>73</v>
      </c>
      <c r="J98" s="10" t="s">
        <v>79</v>
      </c>
      <c r="K98" s="10" t="s">
        <v>910</v>
      </c>
      <c r="L98" s="10" t="s">
        <v>110</v>
      </c>
      <c r="M98" s="10" t="s">
        <v>911</v>
      </c>
      <c r="N98" s="5" t="s">
        <v>793</v>
      </c>
      <c r="O98" s="9" t="n">
        <v>5</v>
      </c>
      <c r="P98" s="9" t="n">
        <v>0.7</v>
      </c>
      <c r="Q98" s="9" t="s">
        <v>110</v>
      </c>
    </row>
    <row r="99" customFormat="false" ht="39.75" hidden="false" customHeight="true" outlineLevel="0" collapsed="false">
      <c r="A99" s="10" t="s">
        <v>77</v>
      </c>
      <c r="B99" s="10" t="n">
        <v>8</v>
      </c>
      <c r="C99" s="10" t="s">
        <v>789</v>
      </c>
      <c r="D99" s="10" t="s">
        <v>28</v>
      </c>
      <c r="E99" s="10" t="s">
        <v>912</v>
      </c>
      <c r="F99" s="10" t="n">
        <v>42</v>
      </c>
      <c r="G99" s="10" t="n">
        <v>2016</v>
      </c>
      <c r="H99" s="10" t="s">
        <v>745</v>
      </c>
      <c r="I99" s="10" t="s">
        <v>73</v>
      </c>
      <c r="J99" s="10" t="s">
        <v>79</v>
      </c>
      <c r="K99" s="10" t="s">
        <v>913</v>
      </c>
      <c r="L99" s="10" t="s">
        <v>110</v>
      </c>
      <c r="M99" s="10" t="s">
        <v>914</v>
      </c>
      <c r="N99" s="5" t="s">
        <v>793</v>
      </c>
      <c r="O99" s="9" t="n">
        <v>22</v>
      </c>
      <c r="P99" s="9" t="n">
        <v>3.08</v>
      </c>
      <c r="Q99" s="9" t="s">
        <v>110</v>
      </c>
    </row>
    <row r="100" customFormat="false" ht="39.75" hidden="false" customHeight="true" outlineLevel="0" collapsed="false">
      <c r="A100" s="10" t="s">
        <v>77</v>
      </c>
      <c r="B100" s="10" t="n">
        <v>8</v>
      </c>
      <c r="C100" s="10" t="s">
        <v>789</v>
      </c>
      <c r="D100" s="10" t="s">
        <v>28</v>
      </c>
      <c r="E100" s="10" t="s">
        <v>915</v>
      </c>
      <c r="F100" s="10" t="n">
        <v>43</v>
      </c>
      <c r="G100" s="10" t="n">
        <v>2017</v>
      </c>
      <c r="H100" s="10" t="s">
        <v>745</v>
      </c>
      <c r="I100" s="10" t="s">
        <v>73</v>
      </c>
      <c r="J100" s="10" t="s">
        <v>79</v>
      </c>
      <c r="K100" s="10" t="s">
        <v>916</v>
      </c>
      <c r="L100" s="10" t="s">
        <v>110</v>
      </c>
      <c r="M100" s="10" t="s">
        <v>917</v>
      </c>
      <c r="N100" s="5" t="s">
        <v>793</v>
      </c>
      <c r="O100" s="9" t="n">
        <v>550</v>
      </c>
      <c r="P100" s="9" t="n">
        <v>77</v>
      </c>
      <c r="Q100" s="9" t="s">
        <v>110</v>
      </c>
    </row>
    <row r="101" customFormat="false" ht="39.75" hidden="false" customHeight="true" outlineLevel="0" collapsed="false">
      <c r="A101" s="10" t="s">
        <v>77</v>
      </c>
      <c r="B101" s="10" t="n">
        <v>8</v>
      </c>
      <c r="C101" s="10" t="s">
        <v>789</v>
      </c>
      <c r="D101" s="10" t="s">
        <v>28</v>
      </c>
      <c r="E101" s="10" t="s">
        <v>918</v>
      </c>
      <c r="F101" s="10" t="n">
        <v>44</v>
      </c>
      <c r="G101" s="10" t="n">
        <v>2018</v>
      </c>
      <c r="H101" s="10" t="s">
        <v>745</v>
      </c>
      <c r="I101" s="10" t="s">
        <v>73</v>
      </c>
      <c r="J101" s="10" t="s">
        <v>79</v>
      </c>
      <c r="K101" s="10" t="s">
        <v>919</v>
      </c>
      <c r="L101" s="10" t="s">
        <v>110</v>
      </c>
      <c r="M101" s="10" t="s">
        <v>920</v>
      </c>
      <c r="N101" s="5" t="s">
        <v>793</v>
      </c>
      <c r="O101" s="9" t="n">
        <v>30</v>
      </c>
      <c r="P101" s="9" t="n">
        <v>4.2</v>
      </c>
      <c r="Q101" s="9" t="s">
        <v>110</v>
      </c>
    </row>
    <row r="102" customFormat="false" ht="39.75" hidden="false" customHeight="true" outlineLevel="0" collapsed="false">
      <c r="A102" s="10" t="s">
        <v>77</v>
      </c>
      <c r="B102" s="10" t="n">
        <v>8</v>
      </c>
      <c r="C102" s="10" t="s">
        <v>789</v>
      </c>
      <c r="D102" s="10" t="s">
        <v>28</v>
      </c>
      <c r="E102" s="10" t="s">
        <v>921</v>
      </c>
      <c r="F102" s="10" t="n">
        <v>45</v>
      </c>
      <c r="G102" s="10" t="n">
        <v>2014</v>
      </c>
      <c r="H102" s="10" t="s">
        <v>745</v>
      </c>
      <c r="I102" s="10" t="s">
        <v>73</v>
      </c>
      <c r="J102" s="10" t="s">
        <v>79</v>
      </c>
      <c r="K102" s="10" t="s">
        <v>922</v>
      </c>
      <c r="L102" s="10" t="s">
        <v>38</v>
      </c>
      <c r="M102" s="10" t="s">
        <v>923</v>
      </c>
      <c r="N102" s="5" t="s">
        <v>793</v>
      </c>
      <c r="O102" s="9" t="n">
        <v>480</v>
      </c>
      <c r="P102" s="9" t="n">
        <v>67.2</v>
      </c>
      <c r="Q102" s="9" t="s">
        <v>38</v>
      </c>
    </row>
    <row r="103" customFormat="false" ht="39.75" hidden="false" customHeight="true" outlineLevel="0" collapsed="false">
      <c r="A103" s="10" t="s">
        <v>77</v>
      </c>
      <c r="B103" s="10" t="n">
        <v>8</v>
      </c>
      <c r="C103" s="10" t="s">
        <v>789</v>
      </c>
      <c r="D103" s="10" t="s">
        <v>28</v>
      </c>
      <c r="E103" s="10" t="s">
        <v>924</v>
      </c>
      <c r="F103" s="10" t="n">
        <v>46</v>
      </c>
      <c r="G103" s="10" t="n">
        <v>2015</v>
      </c>
      <c r="H103" s="10" t="s">
        <v>745</v>
      </c>
      <c r="I103" s="10" t="s">
        <v>73</v>
      </c>
      <c r="J103" s="10" t="s">
        <v>79</v>
      </c>
      <c r="K103" s="10" t="s">
        <v>925</v>
      </c>
      <c r="L103" s="10" t="s">
        <v>38</v>
      </c>
      <c r="M103" s="10" t="s">
        <v>926</v>
      </c>
      <c r="N103" s="5" t="s">
        <v>793</v>
      </c>
      <c r="O103" s="9" t="n">
        <v>40</v>
      </c>
      <c r="P103" s="9" t="n">
        <v>5.6</v>
      </c>
      <c r="Q103" s="9" t="s">
        <v>38</v>
      </c>
    </row>
    <row r="104" customFormat="false" ht="39.75" hidden="false" customHeight="true" outlineLevel="0" collapsed="false">
      <c r="A104" s="10" t="s">
        <v>77</v>
      </c>
      <c r="B104" s="10" t="n">
        <v>8</v>
      </c>
      <c r="C104" s="10" t="s">
        <v>789</v>
      </c>
      <c r="D104" s="10" t="s">
        <v>28</v>
      </c>
      <c r="E104" s="10" t="s">
        <v>927</v>
      </c>
      <c r="F104" s="10" t="n">
        <v>47</v>
      </c>
      <c r="G104" s="10" t="n">
        <v>2015</v>
      </c>
      <c r="H104" s="10" t="s">
        <v>745</v>
      </c>
      <c r="I104" s="10" t="s">
        <v>73</v>
      </c>
      <c r="J104" s="10" t="s">
        <v>79</v>
      </c>
      <c r="K104" s="10" t="s">
        <v>928</v>
      </c>
      <c r="L104" s="10" t="s">
        <v>38</v>
      </c>
      <c r="M104" s="10" t="s">
        <v>929</v>
      </c>
      <c r="N104" s="5" t="s">
        <v>793</v>
      </c>
      <c r="O104" s="9" t="n">
        <v>165</v>
      </c>
      <c r="P104" s="9" t="n">
        <v>23.1</v>
      </c>
      <c r="Q104" s="9" t="s">
        <v>38</v>
      </c>
    </row>
    <row r="105" customFormat="false" ht="39.75" hidden="false" customHeight="true" outlineLevel="0" collapsed="false">
      <c r="A105" s="10" t="s">
        <v>77</v>
      </c>
      <c r="B105" s="10" t="n">
        <v>8</v>
      </c>
      <c r="C105" s="10" t="s">
        <v>789</v>
      </c>
      <c r="D105" s="10" t="s">
        <v>28</v>
      </c>
      <c r="E105" s="10" t="s">
        <v>930</v>
      </c>
      <c r="F105" s="10" t="n">
        <v>48</v>
      </c>
      <c r="G105" s="10" t="n">
        <v>2015</v>
      </c>
      <c r="H105" s="10" t="s">
        <v>745</v>
      </c>
      <c r="I105" s="10" t="s">
        <v>73</v>
      </c>
      <c r="J105" s="10" t="s">
        <v>79</v>
      </c>
      <c r="K105" s="10" t="s">
        <v>802</v>
      </c>
      <c r="L105" s="10" t="s">
        <v>38</v>
      </c>
      <c r="M105" s="10" t="s">
        <v>931</v>
      </c>
      <c r="N105" s="5" t="s">
        <v>793</v>
      </c>
      <c r="O105" s="9" t="n">
        <v>600</v>
      </c>
      <c r="P105" s="9" t="n">
        <v>84</v>
      </c>
      <c r="Q105" s="9" t="s">
        <v>38</v>
      </c>
    </row>
    <row r="106" customFormat="false" ht="39.75" hidden="false" customHeight="true" outlineLevel="0" collapsed="false">
      <c r="A106" s="10" t="s">
        <v>77</v>
      </c>
      <c r="B106" s="10" t="n">
        <v>8</v>
      </c>
      <c r="C106" s="9" t="s">
        <v>932</v>
      </c>
      <c r="D106" s="10" t="s">
        <v>90</v>
      </c>
      <c r="E106" s="9" t="s">
        <v>805</v>
      </c>
      <c r="F106" s="9" t="n">
        <v>1</v>
      </c>
      <c r="G106" s="9" t="n">
        <v>2021</v>
      </c>
      <c r="H106" s="10" t="s">
        <v>745</v>
      </c>
      <c r="I106" s="9" t="s">
        <v>73</v>
      </c>
      <c r="J106" s="9" t="s">
        <v>79</v>
      </c>
      <c r="K106" s="9" t="s">
        <v>933</v>
      </c>
      <c r="L106" s="9" t="s">
        <v>25</v>
      </c>
      <c r="M106" s="9" t="s">
        <v>934</v>
      </c>
      <c r="N106" s="32" t="s">
        <v>935</v>
      </c>
      <c r="O106" s="9" t="n">
        <v>18000</v>
      </c>
      <c r="P106" s="9" t="n">
        <v>2520</v>
      </c>
      <c r="Q106" s="9" t="s">
        <v>25</v>
      </c>
    </row>
    <row r="107" customFormat="false" ht="39.75" hidden="false" customHeight="true" outlineLevel="0" collapsed="false">
      <c r="A107" s="10" t="s">
        <v>77</v>
      </c>
      <c r="B107" s="10" t="n">
        <v>8</v>
      </c>
      <c r="C107" s="9" t="s">
        <v>932</v>
      </c>
      <c r="D107" s="10" t="s">
        <v>90</v>
      </c>
      <c r="E107" s="9" t="s">
        <v>936</v>
      </c>
      <c r="F107" s="9" t="n">
        <v>2</v>
      </c>
      <c r="G107" s="9" t="n">
        <v>2023</v>
      </c>
      <c r="H107" s="10" t="s">
        <v>745</v>
      </c>
      <c r="I107" s="9" t="s">
        <v>73</v>
      </c>
      <c r="J107" s="9" t="s">
        <v>79</v>
      </c>
      <c r="K107" s="9" t="s">
        <v>937</v>
      </c>
      <c r="L107" s="9" t="s">
        <v>25</v>
      </c>
      <c r="M107" s="9" t="s">
        <v>938</v>
      </c>
      <c r="N107" s="32" t="s">
        <v>935</v>
      </c>
      <c r="O107" s="9" t="n">
        <v>12900</v>
      </c>
      <c r="P107" s="9" t="n">
        <v>1806</v>
      </c>
      <c r="Q107" s="9" t="s">
        <v>25</v>
      </c>
    </row>
    <row r="108" customFormat="false" ht="39.75" hidden="false" customHeight="true" outlineLevel="0" collapsed="false">
      <c r="A108" s="10" t="s">
        <v>77</v>
      </c>
      <c r="B108" s="10" t="n">
        <v>8</v>
      </c>
      <c r="C108" s="9" t="s">
        <v>932</v>
      </c>
      <c r="D108" s="10" t="s">
        <v>90</v>
      </c>
      <c r="E108" s="9" t="s">
        <v>939</v>
      </c>
      <c r="F108" s="9" t="n">
        <v>3</v>
      </c>
      <c r="G108" s="9" t="n">
        <v>2023</v>
      </c>
      <c r="H108" s="10" t="s">
        <v>745</v>
      </c>
      <c r="I108" s="9" t="s">
        <v>73</v>
      </c>
      <c r="J108" s="9" t="s">
        <v>79</v>
      </c>
      <c r="K108" s="9" t="s">
        <v>940</v>
      </c>
      <c r="L108" s="9" t="s">
        <v>25</v>
      </c>
      <c r="M108" s="9" t="s">
        <v>941</v>
      </c>
      <c r="N108" s="32" t="s">
        <v>942</v>
      </c>
      <c r="O108" s="9" t="n">
        <v>14560</v>
      </c>
      <c r="P108" s="9" t="n">
        <v>2038.4</v>
      </c>
      <c r="Q108" s="9" t="s">
        <v>25</v>
      </c>
    </row>
    <row r="109" customFormat="false" ht="39.75" hidden="false" customHeight="true" outlineLevel="0" collapsed="false">
      <c r="A109" s="10" t="s">
        <v>77</v>
      </c>
      <c r="B109" s="10" t="n">
        <v>8</v>
      </c>
      <c r="C109" s="9" t="s">
        <v>932</v>
      </c>
      <c r="D109" s="10" t="s">
        <v>90</v>
      </c>
      <c r="E109" s="9" t="s">
        <v>821</v>
      </c>
      <c r="F109" s="9" t="n">
        <v>4</v>
      </c>
      <c r="G109" s="9" t="n">
        <v>2020</v>
      </c>
      <c r="H109" s="10" t="s">
        <v>745</v>
      </c>
      <c r="I109" s="9" t="s">
        <v>73</v>
      </c>
      <c r="J109" s="9" t="s">
        <v>79</v>
      </c>
      <c r="K109" s="9" t="s">
        <v>943</v>
      </c>
      <c r="L109" s="9" t="s">
        <v>25</v>
      </c>
      <c r="M109" s="9" t="s">
        <v>944</v>
      </c>
      <c r="N109" s="32" t="s">
        <v>945</v>
      </c>
      <c r="O109" s="9" t="n">
        <v>10600</v>
      </c>
      <c r="P109" s="9" t="n">
        <v>1484</v>
      </c>
      <c r="Q109" s="9" t="s">
        <v>25</v>
      </c>
    </row>
    <row r="110" customFormat="false" ht="39.75" hidden="false" customHeight="true" outlineLevel="0" collapsed="false">
      <c r="A110" s="10" t="s">
        <v>77</v>
      </c>
      <c r="B110" s="10" t="n">
        <v>8</v>
      </c>
      <c r="C110" s="9" t="s">
        <v>932</v>
      </c>
      <c r="D110" s="10" t="s">
        <v>90</v>
      </c>
      <c r="E110" s="9" t="s">
        <v>946</v>
      </c>
      <c r="F110" s="9" t="n">
        <v>5</v>
      </c>
      <c r="G110" s="9" t="n">
        <v>2020</v>
      </c>
      <c r="H110" s="10" t="s">
        <v>745</v>
      </c>
      <c r="I110" s="9" t="s">
        <v>73</v>
      </c>
      <c r="J110" s="9" t="s">
        <v>79</v>
      </c>
      <c r="K110" s="9" t="s">
        <v>947</v>
      </c>
      <c r="L110" s="9" t="s">
        <v>25</v>
      </c>
      <c r="M110" s="9" t="s">
        <v>948</v>
      </c>
      <c r="N110" s="32" t="s">
        <v>949</v>
      </c>
      <c r="O110" s="9" t="n">
        <v>8500</v>
      </c>
      <c r="P110" s="9" t="n">
        <v>1190</v>
      </c>
      <c r="Q110" s="9" t="s">
        <v>25</v>
      </c>
    </row>
    <row r="111" customFormat="false" ht="39.75" hidden="false" customHeight="true" outlineLevel="0" collapsed="false">
      <c r="A111" s="10" t="s">
        <v>77</v>
      </c>
      <c r="B111" s="10" t="n">
        <v>8</v>
      </c>
      <c r="C111" s="9" t="s">
        <v>932</v>
      </c>
      <c r="D111" s="10" t="s">
        <v>90</v>
      </c>
      <c r="E111" s="9" t="s">
        <v>950</v>
      </c>
      <c r="F111" s="9" t="n">
        <v>6</v>
      </c>
      <c r="G111" s="9" t="n">
        <v>2021</v>
      </c>
      <c r="H111" s="10" t="s">
        <v>745</v>
      </c>
      <c r="I111" s="9" t="s">
        <v>73</v>
      </c>
      <c r="J111" s="9" t="s">
        <v>79</v>
      </c>
      <c r="K111" s="9" t="s">
        <v>951</v>
      </c>
      <c r="L111" s="9" t="s">
        <v>25</v>
      </c>
      <c r="M111" s="9" t="s">
        <v>952</v>
      </c>
      <c r="N111" s="32" t="s">
        <v>953</v>
      </c>
      <c r="O111" s="9" t="n">
        <v>5700</v>
      </c>
      <c r="P111" s="9" t="n">
        <v>798</v>
      </c>
      <c r="Q111" s="9" t="s">
        <v>25</v>
      </c>
    </row>
    <row r="112" customFormat="false" ht="39.75" hidden="false" customHeight="true" outlineLevel="0" collapsed="false">
      <c r="A112" s="10" t="s">
        <v>77</v>
      </c>
      <c r="B112" s="10" t="n">
        <v>8</v>
      </c>
      <c r="C112" s="9" t="s">
        <v>932</v>
      </c>
      <c r="D112" s="10" t="s">
        <v>90</v>
      </c>
      <c r="E112" s="9" t="s">
        <v>826</v>
      </c>
      <c r="F112" s="9" t="n">
        <v>7</v>
      </c>
      <c r="G112" s="9" t="n">
        <v>2022</v>
      </c>
      <c r="H112" s="10" t="s">
        <v>745</v>
      </c>
      <c r="I112" s="9" t="s">
        <v>73</v>
      </c>
      <c r="J112" s="9" t="s">
        <v>79</v>
      </c>
      <c r="K112" s="9" t="s">
        <v>798</v>
      </c>
      <c r="L112" s="9" t="s">
        <v>25</v>
      </c>
      <c r="M112" s="9" t="s">
        <v>954</v>
      </c>
      <c r="N112" s="32" t="s">
        <v>955</v>
      </c>
      <c r="O112" s="9" t="n">
        <v>1600</v>
      </c>
      <c r="P112" s="9" t="n">
        <v>224</v>
      </c>
      <c r="Q112" s="9" t="s">
        <v>25</v>
      </c>
    </row>
    <row r="113" customFormat="false" ht="39.75" hidden="false" customHeight="true" outlineLevel="0" collapsed="false">
      <c r="A113" s="10" t="s">
        <v>77</v>
      </c>
      <c r="B113" s="10" t="n">
        <v>8</v>
      </c>
      <c r="C113" s="9" t="s">
        <v>932</v>
      </c>
      <c r="D113" s="10" t="s">
        <v>90</v>
      </c>
      <c r="E113" s="9" t="s">
        <v>956</v>
      </c>
      <c r="F113" s="9" t="n">
        <v>8</v>
      </c>
      <c r="G113" s="9" t="n">
        <v>2023</v>
      </c>
      <c r="H113" s="10" t="s">
        <v>745</v>
      </c>
      <c r="I113" s="9" t="s">
        <v>73</v>
      </c>
      <c r="J113" s="9" t="s">
        <v>79</v>
      </c>
      <c r="K113" s="9" t="s">
        <v>957</v>
      </c>
      <c r="L113" s="9" t="s">
        <v>25</v>
      </c>
      <c r="M113" s="9" t="s">
        <v>958</v>
      </c>
      <c r="N113" s="32" t="s">
        <v>959</v>
      </c>
      <c r="O113" s="9" t="n">
        <v>7000</v>
      </c>
      <c r="P113" s="9" t="n">
        <v>980</v>
      </c>
      <c r="Q113" s="9" t="s">
        <v>25</v>
      </c>
    </row>
    <row r="114" customFormat="false" ht="39.75" hidden="false" customHeight="true" outlineLevel="0" collapsed="false">
      <c r="A114" s="10" t="s">
        <v>77</v>
      </c>
      <c r="B114" s="10" t="n">
        <v>8</v>
      </c>
      <c r="C114" s="9" t="s">
        <v>932</v>
      </c>
      <c r="D114" s="10" t="s">
        <v>90</v>
      </c>
      <c r="E114" s="9" t="s">
        <v>960</v>
      </c>
      <c r="F114" s="9" t="n">
        <v>9</v>
      </c>
      <c r="G114" s="9" t="n">
        <v>2023</v>
      </c>
      <c r="H114" s="10" t="s">
        <v>745</v>
      </c>
      <c r="I114" s="9" t="s">
        <v>73</v>
      </c>
      <c r="J114" s="9" t="s">
        <v>79</v>
      </c>
      <c r="K114" s="9" t="s">
        <v>961</v>
      </c>
      <c r="L114" s="9" t="s">
        <v>25</v>
      </c>
      <c r="M114" s="9" t="s">
        <v>962</v>
      </c>
      <c r="N114" s="32" t="s">
        <v>963</v>
      </c>
      <c r="O114" s="9" t="n">
        <v>3600</v>
      </c>
      <c r="P114" s="9" t="n">
        <v>504</v>
      </c>
      <c r="Q114" s="9" t="s">
        <v>25</v>
      </c>
    </row>
    <row r="115" customFormat="false" ht="39.75" hidden="false" customHeight="true" outlineLevel="0" collapsed="false">
      <c r="A115" s="10" t="s">
        <v>77</v>
      </c>
      <c r="B115" s="10" t="n">
        <v>8</v>
      </c>
      <c r="C115" s="9" t="s">
        <v>932</v>
      </c>
      <c r="D115" s="10" t="s">
        <v>90</v>
      </c>
      <c r="E115" s="9" t="s">
        <v>964</v>
      </c>
      <c r="F115" s="9" t="n">
        <v>10</v>
      </c>
      <c r="G115" s="9" t="n">
        <v>2024</v>
      </c>
      <c r="H115" s="10" t="s">
        <v>745</v>
      </c>
      <c r="I115" s="9" t="s">
        <v>73</v>
      </c>
      <c r="J115" s="9" t="s">
        <v>79</v>
      </c>
      <c r="K115" s="9" t="s">
        <v>965</v>
      </c>
      <c r="L115" s="9" t="s">
        <v>25</v>
      </c>
      <c r="M115" s="9" t="s">
        <v>966</v>
      </c>
      <c r="N115" s="32" t="s">
        <v>967</v>
      </c>
      <c r="O115" s="9" t="n">
        <v>2155</v>
      </c>
      <c r="P115" s="9" t="n">
        <v>301.7</v>
      </c>
      <c r="Q115" s="9" t="s">
        <v>25</v>
      </c>
    </row>
    <row r="116" customFormat="false" ht="39.75" hidden="false" customHeight="true" outlineLevel="0" collapsed="false">
      <c r="A116" s="10" t="s">
        <v>77</v>
      </c>
      <c r="B116" s="10" t="n">
        <v>8</v>
      </c>
      <c r="C116" s="9" t="s">
        <v>932</v>
      </c>
      <c r="D116" s="10" t="s">
        <v>90</v>
      </c>
      <c r="E116" s="9" t="s">
        <v>968</v>
      </c>
      <c r="F116" s="9" t="n">
        <v>11</v>
      </c>
      <c r="G116" s="9" t="n">
        <v>2020</v>
      </c>
      <c r="H116" s="10" t="s">
        <v>745</v>
      </c>
      <c r="I116" s="9" t="s">
        <v>73</v>
      </c>
      <c r="J116" s="9" t="s">
        <v>79</v>
      </c>
      <c r="K116" s="9" t="s">
        <v>969</v>
      </c>
      <c r="L116" s="9" t="s">
        <v>25</v>
      </c>
      <c r="M116" s="9" t="s">
        <v>970</v>
      </c>
      <c r="N116" s="32" t="s">
        <v>971</v>
      </c>
      <c r="O116" s="9" t="n">
        <v>2950</v>
      </c>
      <c r="P116" s="9" t="n">
        <v>413</v>
      </c>
      <c r="Q116" s="9" t="s">
        <v>25</v>
      </c>
    </row>
    <row r="117" customFormat="false" ht="39.75" hidden="false" customHeight="true" outlineLevel="0" collapsed="false">
      <c r="A117" s="10" t="s">
        <v>77</v>
      </c>
      <c r="B117" s="10" t="n">
        <v>8</v>
      </c>
      <c r="C117" s="9" t="s">
        <v>932</v>
      </c>
      <c r="D117" s="10" t="s">
        <v>90</v>
      </c>
      <c r="E117" s="9" t="s">
        <v>972</v>
      </c>
      <c r="F117" s="9" t="n">
        <v>12</v>
      </c>
      <c r="G117" s="9" t="n">
        <v>2021</v>
      </c>
      <c r="H117" s="10" t="s">
        <v>745</v>
      </c>
      <c r="I117" s="9" t="s">
        <v>73</v>
      </c>
      <c r="J117" s="9" t="s">
        <v>79</v>
      </c>
      <c r="K117" s="9" t="s">
        <v>973</v>
      </c>
      <c r="L117" s="9" t="s">
        <v>974</v>
      </c>
      <c r="M117" s="9" t="s">
        <v>975</v>
      </c>
      <c r="N117" s="32" t="s">
        <v>976</v>
      </c>
      <c r="O117" s="9" t="n">
        <v>2500</v>
      </c>
      <c r="P117" s="9" t="n">
        <v>350</v>
      </c>
      <c r="Q117" s="9" t="s">
        <v>38</v>
      </c>
    </row>
    <row r="118" customFormat="false" ht="39.75" hidden="false" customHeight="true" outlineLevel="0" collapsed="false">
      <c r="A118" s="10" t="s">
        <v>77</v>
      </c>
      <c r="B118" s="10" t="n">
        <v>8</v>
      </c>
      <c r="C118" s="9" t="s">
        <v>932</v>
      </c>
      <c r="D118" s="10" t="s">
        <v>90</v>
      </c>
      <c r="E118" s="9" t="s">
        <v>977</v>
      </c>
      <c r="F118" s="9" t="n">
        <v>13</v>
      </c>
      <c r="G118" s="9" t="n">
        <v>2021</v>
      </c>
      <c r="H118" s="10" t="s">
        <v>745</v>
      </c>
      <c r="I118" s="9" t="s">
        <v>73</v>
      </c>
      <c r="J118" s="9" t="s">
        <v>79</v>
      </c>
      <c r="K118" s="9" t="s">
        <v>849</v>
      </c>
      <c r="L118" s="9" t="s">
        <v>38</v>
      </c>
      <c r="M118" s="9" t="s">
        <v>978</v>
      </c>
      <c r="N118" s="32" t="s">
        <v>979</v>
      </c>
      <c r="O118" s="9" t="n">
        <v>1500</v>
      </c>
      <c r="P118" s="9" t="n">
        <v>210</v>
      </c>
      <c r="Q118" s="9" t="s">
        <v>38</v>
      </c>
    </row>
    <row r="119" customFormat="false" ht="39.75" hidden="false" customHeight="true" outlineLevel="0" collapsed="false">
      <c r="A119" s="10" t="s">
        <v>77</v>
      </c>
      <c r="B119" s="10" t="n">
        <v>8</v>
      </c>
      <c r="C119" s="9" t="s">
        <v>932</v>
      </c>
      <c r="D119" s="10" t="s">
        <v>90</v>
      </c>
      <c r="E119" s="9" t="s">
        <v>980</v>
      </c>
      <c r="F119" s="9" t="n">
        <v>14</v>
      </c>
      <c r="G119" s="9" t="n">
        <v>2022</v>
      </c>
      <c r="H119" s="10" t="s">
        <v>745</v>
      </c>
      <c r="I119" s="9" t="s">
        <v>73</v>
      </c>
      <c r="J119" s="9" t="s">
        <v>79</v>
      </c>
      <c r="K119" s="9" t="s">
        <v>802</v>
      </c>
      <c r="L119" s="9" t="s">
        <v>25</v>
      </c>
      <c r="M119" s="9" t="s">
        <v>981</v>
      </c>
      <c r="N119" s="32" t="s">
        <v>982</v>
      </c>
      <c r="O119" s="9" t="n">
        <v>600</v>
      </c>
      <c r="P119" s="9" t="n">
        <v>84</v>
      </c>
      <c r="Q119" s="9" t="s">
        <v>25</v>
      </c>
    </row>
    <row r="120" customFormat="false" ht="39.75" hidden="false" customHeight="true" outlineLevel="0" collapsed="false">
      <c r="A120" s="10" t="s">
        <v>77</v>
      </c>
      <c r="B120" s="10" t="n">
        <v>8</v>
      </c>
      <c r="C120" s="9" t="s">
        <v>932</v>
      </c>
      <c r="D120" s="10" t="s">
        <v>90</v>
      </c>
      <c r="E120" s="9" t="s">
        <v>983</v>
      </c>
      <c r="F120" s="9" t="n">
        <v>15</v>
      </c>
      <c r="G120" s="9" t="n">
        <v>2024</v>
      </c>
      <c r="H120" s="10" t="s">
        <v>745</v>
      </c>
      <c r="I120" s="9" t="s">
        <v>73</v>
      </c>
      <c r="J120" s="9" t="s">
        <v>79</v>
      </c>
      <c r="K120" s="9" t="s">
        <v>984</v>
      </c>
      <c r="L120" s="9" t="s">
        <v>803</v>
      </c>
      <c r="M120" s="9" t="s">
        <v>985</v>
      </c>
      <c r="N120" s="32" t="s">
        <v>986</v>
      </c>
      <c r="O120" s="9" t="n">
        <v>350</v>
      </c>
      <c r="P120" s="9" t="n">
        <v>49</v>
      </c>
      <c r="Q120" s="9" t="s">
        <v>25</v>
      </c>
    </row>
    <row r="121" customFormat="false" ht="39.75" hidden="false" customHeight="true" outlineLevel="0" collapsed="false">
      <c r="A121" s="10" t="s">
        <v>77</v>
      </c>
      <c r="B121" s="10" t="n">
        <v>8</v>
      </c>
      <c r="C121" s="9" t="s">
        <v>932</v>
      </c>
      <c r="D121" s="10" t="s">
        <v>90</v>
      </c>
      <c r="E121" s="9" t="s">
        <v>987</v>
      </c>
      <c r="F121" s="9" t="n">
        <v>16</v>
      </c>
      <c r="G121" s="9" t="n">
        <v>2021</v>
      </c>
      <c r="H121" s="10" t="s">
        <v>745</v>
      </c>
      <c r="I121" s="9" t="s">
        <v>73</v>
      </c>
      <c r="J121" s="9" t="s">
        <v>79</v>
      </c>
      <c r="K121" s="9" t="s">
        <v>988</v>
      </c>
      <c r="L121" s="9" t="s">
        <v>803</v>
      </c>
      <c r="M121" s="9" t="s">
        <v>989</v>
      </c>
      <c r="N121" s="32" t="s">
        <v>990</v>
      </c>
      <c r="O121" s="9" t="n">
        <v>1650</v>
      </c>
      <c r="P121" s="9" t="n">
        <v>231</v>
      </c>
      <c r="Q121" s="9" t="s">
        <v>25</v>
      </c>
    </row>
    <row r="122" customFormat="false" ht="39.75" hidden="false" customHeight="true" outlineLevel="0" collapsed="false">
      <c r="A122" s="10" t="s">
        <v>77</v>
      </c>
      <c r="B122" s="10" t="n">
        <v>8</v>
      </c>
      <c r="C122" s="9" t="s">
        <v>932</v>
      </c>
      <c r="D122" s="10" t="s">
        <v>90</v>
      </c>
      <c r="E122" s="9" t="s">
        <v>991</v>
      </c>
      <c r="F122" s="9" t="n">
        <v>17</v>
      </c>
      <c r="G122" s="9" t="n">
        <v>2022</v>
      </c>
      <c r="H122" s="10" t="s">
        <v>745</v>
      </c>
      <c r="I122" s="9" t="s">
        <v>73</v>
      </c>
      <c r="J122" s="9" t="s">
        <v>79</v>
      </c>
      <c r="K122" s="9" t="s">
        <v>992</v>
      </c>
      <c r="L122" s="9" t="s">
        <v>286</v>
      </c>
      <c r="M122" s="9" t="s">
        <v>993</v>
      </c>
      <c r="N122" s="32" t="s">
        <v>994</v>
      </c>
      <c r="O122" s="9" t="n">
        <v>300</v>
      </c>
      <c r="P122" s="9" t="n">
        <v>42</v>
      </c>
      <c r="Q122" s="9" t="s">
        <v>286</v>
      </c>
    </row>
    <row r="123" customFormat="false" ht="39.75" hidden="false" customHeight="true" outlineLevel="0" collapsed="false">
      <c r="A123" s="10" t="s">
        <v>77</v>
      </c>
      <c r="B123" s="10" t="n">
        <v>8</v>
      </c>
      <c r="C123" s="9" t="s">
        <v>932</v>
      </c>
      <c r="D123" s="10" t="s">
        <v>90</v>
      </c>
      <c r="E123" s="9" t="s">
        <v>851</v>
      </c>
      <c r="F123" s="9" t="n">
        <v>18</v>
      </c>
      <c r="G123" s="9" t="n">
        <v>2020</v>
      </c>
      <c r="H123" s="10" t="s">
        <v>745</v>
      </c>
      <c r="I123" s="9" t="s">
        <v>73</v>
      </c>
      <c r="J123" s="9" t="s">
        <v>79</v>
      </c>
      <c r="K123" s="9" t="s">
        <v>852</v>
      </c>
      <c r="L123" s="9" t="s">
        <v>44</v>
      </c>
      <c r="M123" s="9" t="s">
        <v>995</v>
      </c>
      <c r="N123" s="32" t="s">
        <v>996</v>
      </c>
      <c r="O123" s="9" t="n">
        <v>2400</v>
      </c>
      <c r="P123" s="9" t="n">
        <v>336</v>
      </c>
      <c r="Q123" s="9" t="s">
        <v>44</v>
      </c>
    </row>
    <row r="124" customFormat="false" ht="39.75" hidden="false" customHeight="true" outlineLevel="0" collapsed="false">
      <c r="A124" s="10" t="s">
        <v>77</v>
      </c>
      <c r="B124" s="10" t="n">
        <v>8</v>
      </c>
      <c r="C124" s="9" t="s">
        <v>932</v>
      </c>
      <c r="D124" s="10" t="s">
        <v>90</v>
      </c>
      <c r="E124" s="9" t="s">
        <v>997</v>
      </c>
      <c r="F124" s="9" t="n">
        <v>19</v>
      </c>
      <c r="G124" s="9" t="n">
        <v>2020</v>
      </c>
      <c r="H124" s="10" t="s">
        <v>745</v>
      </c>
      <c r="I124" s="9" t="s">
        <v>73</v>
      </c>
      <c r="J124" s="9" t="s">
        <v>79</v>
      </c>
      <c r="K124" s="9" t="s">
        <v>998</v>
      </c>
      <c r="L124" s="9" t="s">
        <v>44</v>
      </c>
      <c r="M124" s="9" t="s">
        <v>999</v>
      </c>
      <c r="N124" s="32" t="s">
        <v>1000</v>
      </c>
      <c r="O124" s="9" t="n">
        <v>2250</v>
      </c>
      <c r="P124" s="9" t="n">
        <v>315</v>
      </c>
      <c r="Q124" s="9" t="s">
        <v>44</v>
      </c>
    </row>
    <row r="125" customFormat="false" ht="39.75" hidden="false" customHeight="true" outlineLevel="0" collapsed="false">
      <c r="A125" s="10" t="s">
        <v>77</v>
      </c>
      <c r="B125" s="10" t="n">
        <v>8</v>
      </c>
      <c r="C125" s="9" t="s">
        <v>932</v>
      </c>
      <c r="D125" s="10" t="s">
        <v>90</v>
      </c>
      <c r="E125" s="9" t="s">
        <v>1001</v>
      </c>
      <c r="F125" s="9" t="n">
        <v>20</v>
      </c>
      <c r="G125" s="9" t="n">
        <v>2021</v>
      </c>
      <c r="H125" s="10" t="s">
        <v>745</v>
      </c>
      <c r="I125" s="9" t="s">
        <v>73</v>
      </c>
      <c r="J125" s="9" t="s">
        <v>79</v>
      </c>
      <c r="K125" s="9" t="s">
        <v>1002</v>
      </c>
      <c r="L125" s="9" t="s">
        <v>38</v>
      </c>
      <c r="M125" s="9" t="s">
        <v>1003</v>
      </c>
      <c r="N125" s="32" t="s">
        <v>1004</v>
      </c>
      <c r="O125" s="9" t="n">
        <v>100</v>
      </c>
      <c r="P125" s="9" t="n">
        <v>14</v>
      </c>
      <c r="Q125" s="9" t="s">
        <v>38</v>
      </c>
    </row>
    <row r="126" customFormat="false" ht="39.75" hidden="false" customHeight="true" outlineLevel="0" collapsed="false">
      <c r="A126" s="10" t="s">
        <v>77</v>
      </c>
      <c r="B126" s="10" t="n">
        <v>8</v>
      </c>
      <c r="C126" s="9" t="s">
        <v>932</v>
      </c>
      <c r="D126" s="10" t="s">
        <v>90</v>
      </c>
      <c r="E126" s="9" t="s">
        <v>1005</v>
      </c>
      <c r="F126" s="9" t="n">
        <v>21</v>
      </c>
      <c r="G126" s="9" t="n">
        <v>2024</v>
      </c>
      <c r="H126" s="10" t="s">
        <v>745</v>
      </c>
      <c r="I126" s="9" t="s">
        <v>73</v>
      </c>
      <c r="J126" s="9" t="s">
        <v>79</v>
      </c>
      <c r="K126" s="9" t="s">
        <v>1006</v>
      </c>
      <c r="L126" s="9" t="s">
        <v>38</v>
      </c>
      <c r="M126" s="9" t="s">
        <v>1007</v>
      </c>
      <c r="N126" s="32" t="s">
        <v>1008</v>
      </c>
      <c r="O126" s="9" t="n">
        <v>80</v>
      </c>
      <c r="P126" s="9" t="n">
        <v>11.2</v>
      </c>
      <c r="Q126" s="9" t="s">
        <v>38</v>
      </c>
    </row>
    <row r="127" customFormat="false" ht="39.75" hidden="false" customHeight="true" outlineLevel="0" collapsed="false">
      <c r="A127" s="5" t="s">
        <v>77</v>
      </c>
      <c r="B127" s="9" t="n">
        <v>8</v>
      </c>
      <c r="C127" s="9" t="s">
        <v>932</v>
      </c>
      <c r="D127" s="9" t="s">
        <v>90</v>
      </c>
      <c r="E127" s="9" t="s">
        <v>1009</v>
      </c>
      <c r="F127" s="9" t="n">
        <v>22</v>
      </c>
      <c r="G127" s="9" t="n">
        <v>2023</v>
      </c>
      <c r="H127" s="10" t="s">
        <v>745</v>
      </c>
      <c r="I127" s="9" t="s">
        <v>73</v>
      </c>
      <c r="J127" s="9" t="s">
        <v>79</v>
      </c>
      <c r="K127" s="9" t="s">
        <v>1010</v>
      </c>
      <c r="L127" s="9" t="s">
        <v>286</v>
      </c>
      <c r="M127" s="9" t="s">
        <v>1011</v>
      </c>
      <c r="N127" s="32" t="s">
        <v>942</v>
      </c>
      <c r="O127" s="9" t="n">
        <v>4000</v>
      </c>
      <c r="P127" s="9" t="n">
        <v>560</v>
      </c>
      <c r="Q127" s="9" t="s">
        <v>286</v>
      </c>
    </row>
    <row r="128" customFormat="false" ht="39.75" hidden="false" customHeight="true" outlineLevel="0" collapsed="false">
      <c r="A128" s="5" t="s">
        <v>77</v>
      </c>
      <c r="B128" s="9" t="n">
        <v>8</v>
      </c>
      <c r="C128" s="9" t="s">
        <v>932</v>
      </c>
      <c r="D128" s="9" t="s">
        <v>90</v>
      </c>
      <c r="E128" s="9" t="s">
        <v>1012</v>
      </c>
      <c r="F128" s="9" t="n">
        <v>23</v>
      </c>
      <c r="G128" s="9" t="n">
        <v>2023</v>
      </c>
      <c r="H128" s="10" t="s">
        <v>745</v>
      </c>
      <c r="I128" s="9" t="s">
        <v>73</v>
      </c>
      <c r="J128" s="9" t="s">
        <v>79</v>
      </c>
      <c r="K128" s="9" t="s">
        <v>1013</v>
      </c>
      <c r="L128" s="9" t="s">
        <v>25</v>
      </c>
      <c r="M128" s="9" t="s">
        <v>1014</v>
      </c>
      <c r="N128" s="32" t="s">
        <v>1015</v>
      </c>
      <c r="O128" s="9" t="n">
        <v>3000</v>
      </c>
      <c r="P128" s="9" t="n">
        <v>420</v>
      </c>
      <c r="Q128" s="9" t="s">
        <v>25</v>
      </c>
    </row>
    <row r="129" customFormat="false" ht="39.75" hidden="false" customHeight="true" outlineLevel="0" collapsed="false">
      <c r="A129" s="5" t="s">
        <v>77</v>
      </c>
      <c r="B129" s="9" t="n">
        <v>8</v>
      </c>
      <c r="C129" s="9" t="s">
        <v>932</v>
      </c>
      <c r="D129" s="9" t="s">
        <v>90</v>
      </c>
      <c r="E129" s="9" t="s">
        <v>1016</v>
      </c>
      <c r="F129" s="9" t="n">
        <v>24</v>
      </c>
      <c r="G129" s="9" t="n">
        <v>2023</v>
      </c>
      <c r="H129" s="10" t="s">
        <v>745</v>
      </c>
      <c r="I129" s="9" t="s">
        <v>73</v>
      </c>
      <c r="J129" s="9" t="s">
        <v>79</v>
      </c>
      <c r="K129" s="9" t="s">
        <v>1017</v>
      </c>
      <c r="L129" s="9" t="s">
        <v>25</v>
      </c>
      <c r="M129" s="9" t="s">
        <v>1018</v>
      </c>
      <c r="N129" s="32" t="s">
        <v>1019</v>
      </c>
      <c r="O129" s="9" t="n">
        <v>8200</v>
      </c>
      <c r="P129" s="9" t="n">
        <v>1148</v>
      </c>
      <c r="Q129" s="9" t="s">
        <v>25</v>
      </c>
    </row>
    <row r="130" customFormat="false" ht="39.75" hidden="false" customHeight="true" outlineLevel="0" collapsed="false">
      <c r="A130" s="5" t="s">
        <v>77</v>
      </c>
      <c r="B130" s="9" t="n">
        <v>8</v>
      </c>
      <c r="C130" s="9" t="s">
        <v>932</v>
      </c>
      <c r="D130" s="9" t="s">
        <v>90</v>
      </c>
      <c r="E130" s="9" t="s">
        <v>1020</v>
      </c>
      <c r="F130" s="9" t="n">
        <v>25</v>
      </c>
      <c r="G130" s="9" t="n">
        <v>2023</v>
      </c>
      <c r="H130" s="10" t="s">
        <v>745</v>
      </c>
      <c r="I130" s="9" t="s">
        <v>73</v>
      </c>
      <c r="J130" s="9" t="s">
        <v>79</v>
      </c>
      <c r="K130" s="9" t="s">
        <v>1021</v>
      </c>
      <c r="L130" s="9" t="s">
        <v>25</v>
      </c>
      <c r="M130" s="9" t="s">
        <v>1022</v>
      </c>
      <c r="N130" s="32" t="s">
        <v>942</v>
      </c>
      <c r="O130" s="9" t="n">
        <v>1200</v>
      </c>
      <c r="P130" s="9" t="n">
        <v>168</v>
      </c>
      <c r="Q130" s="9" t="s">
        <v>25</v>
      </c>
    </row>
    <row r="131" customFormat="false" ht="39.75" hidden="false" customHeight="true" outlineLevel="0" collapsed="false">
      <c r="A131" s="5" t="s">
        <v>77</v>
      </c>
      <c r="B131" s="9" t="n">
        <v>8</v>
      </c>
      <c r="C131" s="9" t="s">
        <v>932</v>
      </c>
      <c r="D131" s="9" t="s">
        <v>90</v>
      </c>
      <c r="E131" s="9" t="s">
        <v>1023</v>
      </c>
      <c r="F131" s="9" t="n">
        <v>26</v>
      </c>
      <c r="G131" s="9" t="n">
        <v>2023</v>
      </c>
      <c r="H131" s="10" t="s">
        <v>745</v>
      </c>
      <c r="I131" s="9" t="s">
        <v>73</v>
      </c>
      <c r="J131" s="9" t="s">
        <v>79</v>
      </c>
      <c r="K131" s="9" t="s">
        <v>1024</v>
      </c>
      <c r="L131" s="9" t="s">
        <v>25</v>
      </c>
      <c r="M131" s="9" t="s">
        <v>1025</v>
      </c>
      <c r="N131" s="32" t="s">
        <v>942</v>
      </c>
      <c r="O131" s="9" t="n">
        <v>3750</v>
      </c>
      <c r="P131" s="9" t="n">
        <v>525</v>
      </c>
      <c r="Q131" s="9" t="s">
        <v>25</v>
      </c>
    </row>
    <row r="132" customFormat="false" ht="39.75" hidden="false" customHeight="true" outlineLevel="0" collapsed="false">
      <c r="A132" s="5" t="s">
        <v>77</v>
      </c>
      <c r="B132" s="9" t="n">
        <v>8</v>
      </c>
      <c r="C132" s="9" t="s">
        <v>1026</v>
      </c>
      <c r="D132" s="9" t="s">
        <v>96</v>
      </c>
      <c r="E132" s="33" t="s">
        <v>1027</v>
      </c>
      <c r="F132" s="9" t="n">
        <v>1</v>
      </c>
      <c r="G132" s="33" t="n">
        <v>2025</v>
      </c>
      <c r="H132" s="33" t="s">
        <v>289</v>
      </c>
      <c r="I132" s="33" t="s">
        <v>73</v>
      </c>
      <c r="J132" s="33" t="s">
        <v>79</v>
      </c>
      <c r="K132" s="33" t="s">
        <v>1028</v>
      </c>
      <c r="L132" s="33" t="s">
        <v>38</v>
      </c>
      <c r="M132" s="33" t="s">
        <v>1029</v>
      </c>
      <c r="N132" s="32" t="s">
        <v>1030</v>
      </c>
      <c r="O132" s="9" t="n">
        <v>450</v>
      </c>
      <c r="P132" s="9" t="n">
        <v>63</v>
      </c>
      <c r="Q132" s="9" t="s">
        <v>38</v>
      </c>
    </row>
    <row r="133" customFormat="false" ht="39.75" hidden="false" customHeight="true" outlineLevel="0" collapsed="false">
      <c r="A133" s="5" t="s">
        <v>77</v>
      </c>
      <c r="B133" s="9" t="n">
        <v>8</v>
      </c>
      <c r="C133" s="9" t="s">
        <v>1026</v>
      </c>
      <c r="D133" s="9" t="s">
        <v>96</v>
      </c>
      <c r="E133" s="33" t="s">
        <v>1031</v>
      </c>
      <c r="F133" s="9" t="n">
        <v>2</v>
      </c>
      <c r="G133" s="33" t="n">
        <v>2025</v>
      </c>
      <c r="H133" s="33" t="s">
        <v>289</v>
      </c>
      <c r="I133" s="33" t="s">
        <v>73</v>
      </c>
      <c r="J133" s="33" t="s">
        <v>79</v>
      </c>
      <c r="K133" s="33" t="s">
        <v>1032</v>
      </c>
      <c r="L133" s="33" t="s">
        <v>110</v>
      </c>
      <c r="M133" s="33" t="s">
        <v>1033</v>
      </c>
      <c r="N133" s="32" t="s">
        <v>1034</v>
      </c>
      <c r="O133" s="9" t="n">
        <v>100</v>
      </c>
      <c r="P133" s="9" t="n">
        <v>14</v>
      </c>
      <c r="Q133" s="9" t="s">
        <v>110</v>
      </c>
    </row>
    <row r="134" customFormat="false" ht="39.75" hidden="false" customHeight="true" outlineLevel="0" collapsed="false">
      <c r="A134" s="10" t="s">
        <v>120</v>
      </c>
      <c r="B134" s="10" t="n">
        <v>12</v>
      </c>
      <c r="C134" s="9" t="s">
        <v>17</v>
      </c>
      <c r="D134" s="9" t="s">
        <v>17</v>
      </c>
      <c r="E134" s="9" t="s">
        <v>1035</v>
      </c>
      <c r="F134" s="9" t="n">
        <v>1</v>
      </c>
      <c r="G134" s="9" t="n">
        <v>2025</v>
      </c>
      <c r="H134" s="10" t="s">
        <v>433</v>
      </c>
      <c r="I134" s="9" t="s">
        <v>115</v>
      </c>
      <c r="J134" s="9" t="s">
        <v>66</v>
      </c>
      <c r="K134" s="9" t="s">
        <v>1036</v>
      </c>
      <c r="L134" s="9" t="s">
        <v>44</v>
      </c>
      <c r="M134" s="9" t="s">
        <v>1037</v>
      </c>
      <c r="N134" s="9" t="s">
        <v>1038</v>
      </c>
      <c r="O134" s="9" t="n">
        <v>1300</v>
      </c>
      <c r="P134" s="9" t="n">
        <v>41.6</v>
      </c>
      <c r="Q134" s="9" t="s">
        <v>44</v>
      </c>
    </row>
    <row r="135" customFormat="false" ht="39.75" hidden="false" customHeight="true" outlineLevel="0" collapsed="false">
      <c r="A135" s="10" t="s">
        <v>138</v>
      </c>
      <c r="B135" s="10" t="n">
        <v>15</v>
      </c>
      <c r="C135" s="10" t="s">
        <v>144</v>
      </c>
      <c r="D135" s="10" t="s">
        <v>28</v>
      </c>
      <c r="E135" s="34" t="s">
        <v>1039</v>
      </c>
      <c r="F135" s="9" t="n">
        <v>4</v>
      </c>
      <c r="G135" s="9" t="n">
        <v>2022</v>
      </c>
      <c r="H135" s="9" t="s">
        <v>1040</v>
      </c>
      <c r="I135" s="9" t="s">
        <v>128</v>
      </c>
      <c r="J135" s="9" t="s">
        <v>66</v>
      </c>
      <c r="K135" s="9" t="s">
        <v>1041</v>
      </c>
      <c r="L135" s="9" t="s">
        <v>25</v>
      </c>
      <c r="M135" s="9" t="s">
        <v>1042</v>
      </c>
      <c r="N135" s="9" t="s">
        <v>152</v>
      </c>
      <c r="O135" s="9" t="n">
        <v>92900</v>
      </c>
      <c r="P135" s="9" t="n">
        <v>585.27</v>
      </c>
      <c r="Q135" s="9" t="s">
        <v>25</v>
      </c>
    </row>
    <row r="136" customFormat="false" ht="39.75" hidden="false" customHeight="true" outlineLevel="0" collapsed="false">
      <c r="A136" s="10" t="s">
        <v>138</v>
      </c>
      <c r="B136" s="10" t="n">
        <v>15</v>
      </c>
      <c r="C136" s="10" t="s">
        <v>144</v>
      </c>
      <c r="D136" s="10" t="s">
        <v>28</v>
      </c>
      <c r="E136" s="34" t="s">
        <v>1043</v>
      </c>
      <c r="F136" s="9" t="n">
        <v>5</v>
      </c>
      <c r="G136" s="9" t="n">
        <v>2024</v>
      </c>
      <c r="H136" s="9" t="s">
        <v>376</v>
      </c>
      <c r="I136" s="9" t="s">
        <v>128</v>
      </c>
      <c r="J136" s="9" t="s">
        <v>66</v>
      </c>
      <c r="K136" s="9" t="s">
        <v>1044</v>
      </c>
      <c r="L136" s="9" t="s">
        <v>25</v>
      </c>
      <c r="M136" s="9" t="s">
        <v>1045</v>
      </c>
      <c r="N136" s="9" t="s">
        <v>152</v>
      </c>
      <c r="O136" s="9" t="n">
        <v>150000</v>
      </c>
      <c r="P136" s="9" t="n">
        <v>945</v>
      </c>
      <c r="Q136" s="9" t="s">
        <v>25</v>
      </c>
    </row>
    <row r="137" customFormat="false" ht="39.75" hidden="false" customHeight="true" outlineLevel="0" collapsed="false">
      <c r="A137" s="5" t="s">
        <v>147</v>
      </c>
      <c r="B137" s="9" t="n">
        <v>16</v>
      </c>
      <c r="C137" s="9" t="s">
        <v>17</v>
      </c>
      <c r="D137" s="9" t="s">
        <v>17</v>
      </c>
      <c r="E137" s="9" t="s">
        <v>1046</v>
      </c>
      <c r="F137" s="9" t="n">
        <v>1</v>
      </c>
      <c r="G137" s="9" t="n">
        <v>2023</v>
      </c>
      <c r="H137" s="9" t="s">
        <v>413</v>
      </c>
      <c r="I137" s="9" t="s">
        <v>128</v>
      </c>
      <c r="J137" s="9" t="s">
        <v>66</v>
      </c>
      <c r="K137" s="9" t="s">
        <v>1047</v>
      </c>
      <c r="L137" s="9" t="s">
        <v>803</v>
      </c>
      <c r="M137" s="9" t="s">
        <v>1048</v>
      </c>
      <c r="N137" s="9" t="s">
        <v>1049</v>
      </c>
      <c r="O137" s="9" t="n">
        <v>129400</v>
      </c>
      <c r="P137" s="9" t="n">
        <v>815.22</v>
      </c>
      <c r="Q137" s="9" t="s">
        <v>25</v>
      </c>
      <c r="R137" s="35"/>
      <c r="S137" s="35"/>
      <c r="T137" s="35"/>
    </row>
    <row r="138" customFormat="false" ht="39.75" hidden="false" customHeight="true" outlineLevel="0" collapsed="false">
      <c r="A138" s="5" t="s">
        <v>147</v>
      </c>
      <c r="B138" s="9" t="n">
        <v>16</v>
      </c>
      <c r="C138" s="9" t="s">
        <v>17</v>
      </c>
      <c r="D138" s="9" t="s">
        <v>17</v>
      </c>
      <c r="E138" s="9" t="s">
        <v>1050</v>
      </c>
      <c r="F138" s="9" t="n">
        <v>2</v>
      </c>
      <c r="G138" s="9" t="n">
        <v>2024</v>
      </c>
      <c r="H138" s="9" t="s">
        <v>643</v>
      </c>
      <c r="I138" s="9" t="s">
        <v>128</v>
      </c>
      <c r="J138" s="9" t="s">
        <v>66</v>
      </c>
      <c r="K138" s="9" t="s">
        <v>1051</v>
      </c>
      <c r="L138" s="9" t="s">
        <v>803</v>
      </c>
      <c r="M138" s="9" t="s">
        <v>1052</v>
      </c>
      <c r="N138" s="9" t="s">
        <v>1053</v>
      </c>
      <c r="O138" s="9" t="n">
        <v>70500</v>
      </c>
      <c r="P138" s="9" t="n">
        <v>444.15</v>
      </c>
      <c r="Q138" s="9" t="s">
        <v>25</v>
      </c>
      <c r="R138" s="36"/>
      <c r="S138" s="36"/>
      <c r="T138" s="25"/>
    </row>
    <row r="139" customFormat="false" ht="39.75" hidden="false" customHeight="true" outlineLevel="0" collapsed="false">
      <c r="A139" s="5" t="s">
        <v>147</v>
      </c>
      <c r="B139" s="9" t="n">
        <v>16</v>
      </c>
      <c r="C139" s="9" t="s">
        <v>17</v>
      </c>
      <c r="D139" s="9" t="s">
        <v>17</v>
      </c>
      <c r="E139" s="9" t="s">
        <v>1054</v>
      </c>
      <c r="F139" s="9" t="n">
        <v>3</v>
      </c>
      <c r="G139" s="9" t="n">
        <v>2024</v>
      </c>
      <c r="H139" s="9" t="s">
        <v>376</v>
      </c>
      <c r="I139" s="9" t="s">
        <v>128</v>
      </c>
      <c r="J139" s="9" t="s">
        <v>66</v>
      </c>
      <c r="K139" s="9" t="s">
        <v>957</v>
      </c>
      <c r="L139" s="9" t="s">
        <v>110</v>
      </c>
      <c r="M139" s="9" t="s">
        <v>1055</v>
      </c>
      <c r="N139" s="32" t="s">
        <v>1056</v>
      </c>
      <c r="O139" s="9" t="n">
        <v>7000</v>
      </c>
      <c r="P139" s="9" t="n">
        <v>44.1</v>
      </c>
      <c r="Q139" s="9" t="s">
        <v>110</v>
      </c>
      <c r="R139" s="36"/>
      <c r="S139" s="36"/>
      <c r="T139" s="25"/>
    </row>
    <row r="140" customFormat="false" ht="39.75" hidden="false" customHeight="true" outlineLevel="0" collapsed="false">
      <c r="A140" s="5" t="s">
        <v>147</v>
      </c>
      <c r="B140" s="9" t="n">
        <v>16</v>
      </c>
      <c r="C140" s="9" t="s">
        <v>17</v>
      </c>
      <c r="D140" s="9" t="s">
        <v>17</v>
      </c>
      <c r="E140" s="9" t="s">
        <v>1057</v>
      </c>
      <c r="F140" s="9" t="n">
        <v>4</v>
      </c>
      <c r="G140" s="9" t="n">
        <v>2024</v>
      </c>
      <c r="H140" s="9" t="s">
        <v>376</v>
      </c>
      <c r="I140" s="9" t="s">
        <v>128</v>
      </c>
      <c r="J140" s="9" t="s">
        <v>66</v>
      </c>
      <c r="K140" s="9" t="s">
        <v>1058</v>
      </c>
      <c r="L140" s="9" t="s">
        <v>25</v>
      </c>
      <c r="M140" s="9" t="s">
        <v>1059</v>
      </c>
      <c r="N140" s="32" t="s">
        <v>1056</v>
      </c>
      <c r="O140" s="9" t="n">
        <v>5400</v>
      </c>
      <c r="P140" s="9" t="n">
        <v>34.02</v>
      </c>
      <c r="Q140" s="9" t="s">
        <v>25</v>
      </c>
    </row>
    <row r="141" customFormat="false" ht="39.75" hidden="false" customHeight="true" outlineLevel="0" collapsed="false">
      <c r="A141" s="10" t="s">
        <v>138</v>
      </c>
      <c r="B141" s="10" t="n">
        <v>15</v>
      </c>
      <c r="C141" s="10" t="s">
        <v>153</v>
      </c>
      <c r="D141" s="10" t="s">
        <v>90</v>
      </c>
      <c r="E141" s="9" t="s">
        <v>1060</v>
      </c>
      <c r="F141" s="9" t="n">
        <v>2</v>
      </c>
      <c r="G141" s="9" t="n">
        <v>2024</v>
      </c>
      <c r="H141" s="9" t="s">
        <v>643</v>
      </c>
      <c r="I141" s="9" t="s">
        <v>128</v>
      </c>
      <c r="J141" s="9" t="s">
        <v>535</v>
      </c>
      <c r="K141" s="9" t="s">
        <v>1061</v>
      </c>
      <c r="L141" s="9" t="s">
        <v>1062</v>
      </c>
      <c r="M141" s="9" t="s">
        <v>1063</v>
      </c>
      <c r="N141" s="9" t="s">
        <v>1064</v>
      </c>
      <c r="O141" s="9" t="n">
        <v>590000</v>
      </c>
      <c r="P141" s="9" t="n">
        <v>3717</v>
      </c>
      <c r="Q141" s="9" t="s">
        <v>119</v>
      </c>
    </row>
    <row r="142" customFormat="false" ht="39.75" hidden="false" customHeight="true" outlineLevel="0" collapsed="false">
      <c r="A142" s="10" t="s">
        <v>138</v>
      </c>
      <c r="B142" s="10" t="n">
        <v>15</v>
      </c>
      <c r="C142" s="10" t="s">
        <v>144</v>
      </c>
      <c r="D142" s="10" t="s">
        <v>28</v>
      </c>
      <c r="E142" s="9" t="s">
        <v>1065</v>
      </c>
      <c r="F142" s="9" t="n">
        <v>6</v>
      </c>
      <c r="G142" s="9" t="n">
        <v>2022</v>
      </c>
      <c r="H142" s="9" t="s">
        <v>1066</v>
      </c>
      <c r="I142" s="9" t="s">
        <v>128</v>
      </c>
      <c r="J142" s="9" t="s">
        <v>66</v>
      </c>
      <c r="K142" s="9" t="s">
        <v>1067</v>
      </c>
      <c r="L142" s="9" t="s">
        <v>25</v>
      </c>
      <c r="M142" s="9" t="s">
        <v>1068</v>
      </c>
      <c r="N142" s="9" t="s">
        <v>1069</v>
      </c>
      <c r="O142" s="9" t="n">
        <v>46500</v>
      </c>
      <c r="P142" s="9" t="n">
        <v>292.95</v>
      </c>
      <c r="Q142" s="9" t="s">
        <v>25</v>
      </c>
    </row>
    <row r="143" customFormat="false" ht="39.75" hidden="false" customHeight="true" outlineLevel="0" collapsed="false">
      <c r="A143" s="10" t="s">
        <v>138</v>
      </c>
      <c r="B143" s="10" t="n">
        <v>15</v>
      </c>
      <c r="C143" s="10" t="s">
        <v>144</v>
      </c>
      <c r="D143" s="10" t="s">
        <v>28</v>
      </c>
      <c r="E143" s="9" t="s">
        <v>1070</v>
      </c>
      <c r="F143" s="9" t="n">
        <v>7</v>
      </c>
      <c r="G143" s="9" t="n">
        <v>2023</v>
      </c>
      <c r="H143" s="9" t="s">
        <v>192</v>
      </c>
      <c r="I143" s="9" t="s">
        <v>128</v>
      </c>
      <c r="J143" s="9" t="s">
        <v>66</v>
      </c>
      <c r="K143" s="9" t="s">
        <v>1071</v>
      </c>
      <c r="L143" s="9" t="s">
        <v>25</v>
      </c>
      <c r="M143" s="9" t="s">
        <v>1072</v>
      </c>
      <c r="N143" s="9" t="s">
        <v>1069</v>
      </c>
      <c r="O143" s="9" t="n">
        <v>167000</v>
      </c>
      <c r="P143" s="9" t="n">
        <v>1052.1</v>
      </c>
      <c r="Q143" s="9" t="s">
        <v>25</v>
      </c>
    </row>
    <row r="144" customFormat="false" ht="39.75" hidden="false" customHeight="true" outlineLevel="0" collapsed="false">
      <c r="A144" s="10" t="s">
        <v>138</v>
      </c>
      <c r="B144" s="10" t="n">
        <v>15</v>
      </c>
      <c r="C144" s="10" t="s">
        <v>153</v>
      </c>
      <c r="D144" s="10" t="s">
        <v>90</v>
      </c>
      <c r="E144" s="9" t="s">
        <v>1073</v>
      </c>
      <c r="F144" s="9" t="n">
        <v>3</v>
      </c>
      <c r="G144" s="9" t="n">
        <v>2024</v>
      </c>
      <c r="H144" s="9" t="s">
        <v>376</v>
      </c>
      <c r="I144" s="9" t="s">
        <v>128</v>
      </c>
      <c r="J144" s="9" t="s">
        <v>66</v>
      </c>
      <c r="K144" s="9" t="s">
        <v>1074</v>
      </c>
      <c r="L144" s="9" t="s">
        <v>1075</v>
      </c>
      <c r="M144" s="9" t="s">
        <v>1076</v>
      </c>
      <c r="N144" s="9" t="s">
        <v>1077</v>
      </c>
      <c r="O144" s="9" t="n">
        <v>4000</v>
      </c>
      <c r="P144" s="9" t="n">
        <v>25.2</v>
      </c>
      <c r="Q144" s="9" t="s">
        <v>119</v>
      </c>
    </row>
    <row r="145" customFormat="false" ht="39.75" hidden="false" customHeight="true" outlineLevel="0" collapsed="false">
      <c r="A145" s="10" t="s">
        <v>161</v>
      </c>
      <c r="B145" s="10" t="n">
        <v>19</v>
      </c>
      <c r="C145" s="9" t="s">
        <v>17</v>
      </c>
      <c r="D145" s="9" t="s">
        <v>17</v>
      </c>
      <c r="E145" s="9" t="s">
        <v>1078</v>
      </c>
      <c r="F145" s="9" t="n">
        <v>1</v>
      </c>
      <c r="G145" s="9" t="n">
        <v>2023</v>
      </c>
      <c r="H145" s="9" t="s">
        <v>1079</v>
      </c>
      <c r="I145" s="9" t="s">
        <v>163</v>
      </c>
      <c r="J145" s="9" t="s">
        <v>535</v>
      </c>
      <c r="K145" s="10" t="s">
        <v>1080</v>
      </c>
      <c r="L145" s="9" t="s">
        <v>119</v>
      </c>
      <c r="M145" s="9" t="s">
        <v>1081</v>
      </c>
      <c r="N145" s="9" t="s">
        <v>1082</v>
      </c>
      <c r="O145" s="9" t="n">
        <v>10000</v>
      </c>
      <c r="P145" s="9" t="n">
        <v>6.8</v>
      </c>
      <c r="Q145" s="9" t="s">
        <v>119</v>
      </c>
    </row>
    <row r="146" customFormat="false" ht="39.75" hidden="false" customHeight="true" outlineLevel="0" collapsed="false">
      <c r="A146" s="5" t="s">
        <v>191</v>
      </c>
      <c r="B146" s="9" t="n">
        <v>25</v>
      </c>
      <c r="C146" s="9" t="s">
        <v>17</v>
      </c>
      <c r="D146" s="9" t="s">
        <v>17</v>
      </c>
      <c r="E146" s="9" t="s">
        <v>1083</v>
      </c>
      <c r="F146" s="9" t="n">
        <v>4</v>
      </c>
      <c r="G146" s="9" t="n">
        <v>2022</v>
      </c>
      <c r="H146" s="9" t="s">
        <v>1084</v>
      </c>
      <c r="I146" s="9" t="s">
        <v>593</v>
      </c>
      <c r="J146" s="9" t="s">
        <v>535</v>
      </c>
      <c r="K146" s="5" t="s">
        <v>1085</v>
      </c>
      <c r="L146" s="9" t="s">
        <v>25</v>
      </c>
      <c r="M146" s="9" t="s">
        <v>1086</v>
      </c>
      <c r="N146" s="9" t="s">
        <v>1087</v>
      </c>
      <c r="O146" s="9" t="n">
        <v>292.5</v>
      </c>
      <c r="P146" s="9" t="n">
        <v>342.225</v>
      </c>
      <c r="Q146" s="9" t="s">
        <v>25</v>
      </c>
    </row>
    <row r="147" customFormat="false" ht="39.75" hidden="false" customHeight="true" outlineLevel="0" collapsed="false">
      <c r="A147" s="5" t="s">
        <v>191</v>
      </c>
      <c r="B147" s="9" t="n">
        <v>25</v>
      </c>
      <c r="C147" s="9" t="s">
        <v>17</v>
      </c>
      <c r="D147" s="9" t="s">
        <v>17</v>
      </c>
      <c r="E147" s="9" t="s">
        <v>1088</v>
      </c>
      <c r="F147" s="9" t="n">
        <v>5</v>
      </c>
      <c r="G147" s="9" t="n">
        <v>2024</v>
      </c>
      <c r="H147" s="9" t="s">
        <v>121</v>
      </c>
      <c r="I147" s="9" t="s">
        <v>593</v>
      </c>
      <c r="J147" s="9" t="s">
        <v>535</v>
      </c>
      <c r="K147" s="5" t="s">
        <v>1089</v>
      </c>
      <c r="L147" s="9" t="s">
        <v>286</v>
      </c>
      <c r="M147" s="9" t="s">
        <v>1090</v>
      </c>
      <c r="N147" s="9" t="s">
        <v>1091</v>
      </c>
      <c r="O147" s="9" t="n">
        <v>1300</v>
      </c>
      <c r="P147" s="9" t="n">
        <v>1521</v>
      </c>
      <c r="Q147" s="9" t="s">
        <v>286</v>
      </c>
    </row>
    <row r="148" customFormat="false" ht="39.75" hidden="false" customHeight="true" outlineLevel="0" collapsed="false">
      <c r="A148" s="5" t="s">
        <v>191</v>
      </c>
      <c r="B148" s="9" t="n">
        <v>25</v>
      </c>
      <c r="C148" s="9" t="s">
        <v>17</v>
      </c>
      <c r="D148" s="9" t="s">
        <v>17</v>
      </c>
      <c r="E148" s="9" t="s">
        <v>1092</v>
      </c>
      <c r="F148" s="9" t="n">
        <v>6</v>
      </c>
      <c r="G148" s="9" t="n">
        <v>2025</v>
      </c>
      <c r="H148" s="9" t="s">
        <v>620</v>
      </c>
      <c r="I148" s="9" t="s">
        <v>583</v>
      </c>
      <c r="J148" s="9" t="s">
        <v>535</v>
      </c>
      <c r="K148" s="5" t="s">
        <v>1093</v>
      </c>
      <c r="L148" s="9" t="s">
        <v>25</v>
      </c>
      <c r="M148" s="9" t="s">
        <v>1094</v>
      </c>
      <c r="N148" s="9" t="s">
        <v>1095</v>
      </c>
      <c r="O148" s="9" t="n">
        <v>920</v>
      </c>
      <c r="P148" s="9" t="n">
        <v>1082</v>
      </c>
      <c r="Q148" s="9" t="s">
        <v>25</v>
      </c>
    </row>
    <row r="149" customFormat="false" ht="39.75" hidden="false" customHeight="true" outlineLevel="0" collapsed="false">
      <c r="A149" s="5" t="s">
        <v>191</v>
      </c>
      <c r="B149" s="9" t="n">
        <v>25</v>
      </c>
      <c r="C149" s="9" t="s">
        <v>17</v>
      </c>
      <c r="D149" s="9" t="s">
        <v>17</v>
      </c>
      <c r="E149" s="9" t="s">
        <v>1096</v>
      </c>
      <c r="F149" s="9" t="n">
        <v>7</v>
      </c>
      <c r="G149" s="9" t="n">
        <v>2025</v>
      </c>
      <c r="H149" s="9" t="s">
        <v>314</v>
      </c>
      <c r="I149" s="9" t="s">
        <v>583</v>
      </c>
      <c r="J149" s="9" t="s">
        <v>535</v>
      </c>
      <c r="K149" s="5" t="s">
        <v>1097</v>
      </c>
      <c r="L149" s="9" t="s">
        <v>25</v>
      </c>
      <c r="M149" s="9" t="s">
        <v>1098</v>
      </c>
      <c r="N149" s="9" t="s">
        <v>1099</v>
      </c>
      <c r="O149" s="9" t="n">
        <v>227</v>
      </c>
      <c r="P149" s="9" t="n">
        <v>265.59</v>
      </c>
      <c r="Q149" s="9" t="s">
        <v>25</v>
      </c>
    </row>
    <row r="150" customFormat="false" ht="39.75" hidden="false" customHeight="true" outlineLevel="0" collapsed="false">
      <c r="A150" s="5" t="s">
        <v>191</v>
      </c>
      <c r="B150" s="9" t="n">
        <v>25</v>
      </c>
      <c r="C150" s="9" t="s">
        <v>17</v>
      </c>
      <c r="D150" s="9" t="s">
        <v>17</v>
      </c>
      <c r="E150" s="9" t="s">
        <v>1100</v>
      </c>
      <c r="F150" s="9" t="n">
        <v>8</v>
      </c>
      <c r="G150" s="9" t="n">
        <v>2025</v>
      </c>
      <c r="H150" s="9" t="s">
        <v>528</v>
      </c>
      <c r="I150" s="9" t="s">
        <v>1101</v>
      </c>
      <c r="J150" s="9" t="s">
        <v>535</v>
      </c>
      <c r="K150" s="5" t="s">
        <v>1102</v>
      </c>
      <c r="L150" s="9" t="s">
        <v>803</v>
      </c>
      <c r="M150" s="9" t="s">
        <v>1103</v>
      </c>
      <c r="N150" s="9" t="s">
        <v>1104</v>
      </c>
      <c r="O150" s="9" t="n">
        <v>450</v>
      </c>
      <c r="P150" s="9" t="n">
        <v>526.5</v>
      </c>
      <c r="Q150" s="9" t="s">
        <v>25</v>
      </c>
    </row>
    <row r="151" customFormat="false" ht="39.75" hidden="false" customHeight="true" outlineLevel="0" collapsed="false">
      <c r="A151" s="5" t="s">
        <v>191</v>
      </c>
      <c r="B151" s="9" t="n">
        <v>25</v>
      </c>
      <c r="C151" s="9" t="s">
        <v>17</v>
      </c>
      <c r="D151" s="9" t="s">
        <v>17</v>
      </c>
      <c r="E151" s="9" t="s">
        <v>1105</v>
      </c>
      <c r="F151" s="9" t="n">
        <v>9</v>
      </c>
      <c r="G151" s="9" t="n">
        <v>2025</v>
      </c>
      <c r="H151" s="9" t="s">
        <v>268</v>
      </c>
      <c r="I151" s="9" t="s">
        <v>583</v>
      </c>
      <c r="J151" s="9" t="s">
        <v>535</v>
      </c>
      <c r="K151" s="5" t="s">
        <v>1106</v>
      </c>
      <c r="L151" s="9" t="s">
        <v>25</v>
      </c>
      <c r="M151" s="9" t="s">
        <v>1107</v>
      </c>
      <c r="N151" s="9" t="s">
        <v>1108</v>
      </c>
      <c r="O151" s="9" t="n">
        <v>495</v>
      </c>
      <c r="P151" s="9" t="n">
        <v>579.15</v>
      </c>
      <c r="Q151" s="9" t="s">
        <v>25</v>
      </c>
    </row>
    <row r="152" customFormat="false" ht="39.75" hidden="false" customHeight="true" outlineLevel="0" collapsed="false">
      <c r="A152" s="5" t="s">
        <v>191</v>
      </c>
      <c r="B152" s="9" t="n">
        <v>25</v>
      </c>
      <c r="C152" s="9" t="s">
        <v>17</v>
      </c>
      <c r="D152" s="9" t="s">
        <v>17</v>
      </c>
      <c r="E152" s="9" t="s">
        <v>1109</v>
      </c>
      <c r="F152" s="9" t="n">
        <v>10</v>
      </c>
      <c r="G152" s="9" t="n">
        <v>2025</v>
      </c>
      <c r="H152" s="9" t="s">
        <v>268</v>
      </c>
      <c r="I152" s="9" t="s">
        <v>583</v>
      </c>
      <c r="J152" s="9" t="s">
        <v>535</v>
      </c>
      <c r="K152" s="5" t="s">
        <v>1110</v>
      </c>
      <c r="L152" s="9" t="s">
        <v>25</v>
      </c>
      <c r="M152" s="9" t="s">
        <v>1111</v>
      </c>
      <c r="N152" s="9" t="s">
        <v>1108</v>
      </c>
      <c r="O152" s="9" t="n">
        <v>128</v>
      </c>
      <c r="P152" s="9" t="n">
        <v>149.76</v>
      </c>
      <c r="Q152" s="9" t="s">
        <v>25</v>
      </c>
    </row>
    <row r="153" customFormat="false" ht="39.75" hidden="false" customHeight="true" outlineLevel="0" collapsed="false">
      <c r="A153" s="10" t="s">
        <v>199</v>
      </c>
      <c r="B153" s="37" t="n">
        <v>26</v>
      </c>
      <c r="C153" s="9" t="s">
        <v>17</v>
      </c>
      <c r="D153" s="23" t="s">
        <v>17</v>
      </c>
      <c r="E153" s="23" t="s">
        <v>1112</v>
      </c>
      <c r="F153" s="37" t="n">
        <v>1</v>
      </c>
      <c r="G153" s="37" t="n">
        <v>2018</v>
      </c>
      <c r="H153" s="23" t="s">
        <v>1113</v>
      </c>
      <c r="I153" s="23" t="s">
        <v>583</v>
      </c>
      <c r="J153" s="23" t="s">
        <v>66</v>
      </c>
      <c r="K153" s="23" t="s">
        <v>1114</v>
      </c>
      <c r="L153" s="23" t="s">
        <v>68</v>
      </c>
      <c r="M153" s="23" t="s">
        <v>1115</v>
      </c>
      <c r="N153" s="21" t="s">
        <v>1116</v>
      </c>
      <c r="O153" s="9" t="n">
        <v>325</v>
      </c>
      <c r="P153" s="9" t="n">
        <v>380.25</v>
      </c>
      <c r="Q153" s="9" t="s">
        <v>25</v>
      </c>
    </row>
    <row r="154" customFormat="false" ht="39.75" hidden="false" customHeight="true" outlineLevel="0" collapsed="false">
      <c r="A154" s="10" t="s">
        <v>199</v>
      </c>
      <c r="B154" s="37" t="n">
        <v>26</v>
      </c>
      <c r="C154" s="9" t="s">
        <v>17</v>
      </c>
      <c r="D154" s="23" t="s">
        <v>17</v>
      </c>
      <c r="E154" s="23" t="s">
        <v>1117</v>
      </c>
      <c r="F154" s="37" t="n">
        <v>2</v>
      </c>
      <c r="G154" s="37" t="n">
        <v>2018</v>
      </c>
      <c r="H154" s="23" t="s">
        <v>1113</v>
      </c>
      <c r="I154" s="23" t="s">
        <v>583</v>
      </c>
      <c r="J154" s="23" t="s">
        <v>66</v>
      </c>
      <c r="K154" s="23" t="s">
        <v>1118</v>
      </c>
      <c r="L154" s="23" t="s">
        <v>68</v>
      </c>
      <c r="M154" s="23" t="s">
        <v>1119</v>
      </c>
      <c r="N154" s="21" t="s">
        <v>1116</v>
      </c>
      <c r="O154" s="9" t="n">
        <v>160</v>
      </c>
      <c r="P154" s="9" t="n">
        <v>187.2</v>
      </c>
      <c r="Q154" s="9" t="s">
        <v>25</v>
      </c>
    </row>
    <row r="155" customFormat="false" ht="39.75" hidden="false" customHeight="true" outlineLevel="0" collapsed="false">
      <c r="A155" s="10" t="s">
        <v>199</v>
      </c>
      <c r="B155" s="37" t="n">
        <v>26</v>
      </c>
      <c r="C155" s="9" t="s">
        <v>17</v>
      </c>
      <c r="D155" s="23" t="s">
        <v>17</v>
      </c>
      <c r="E155" s="23" t="s">
        <v>1120</v>
      </c>
      <c r="F155" s="37" t="n">
        <v>3</v>
      </c>
      <c r="G155" s="37" t="n">
        <v>2021</v>
      </c>
      <c r="H155" s="23" t="s">
        <v>508</v>
      </c>
      <c r="I155" s="23" t="s">
        <v>1121</v>
      </c>
      <c r="J155" s="23" t="s">
        <v>66</v>
      </c>
      <c r="K155" s="23" t="s">
        <v>1122</v>
      </c>
      <c r="L155" s="23" t="s">
        <v>68</v>
      </c>
      <c r="M155" s="23" t="s">
        <v>1123</v>
      </c>
      <c r="N155" s="21" t="s">
        <v>1116</v>
      </c>
      <c r="O155" s="9" t="n">
        <v>146.5</v>
      </c>
      <c r="P155" s="9" t="n">
        <v>171.405</v>
      </c>
      <c r="Q155" s="9" t="s">
        <v>25</v>
      </c>
    </row>
    <row r="156" customFormat="false" ht="39.75" hidden="false" customHeight="true" outlineLevel="0" collapsed="false">
      <c r="A156" s="10" t="s">
        <v>199</v>
      </c>
      <c r="B156" s="37" t="n">
        <v>26</v>
      </c>
      <c r="C156" s="9" t="s">
        <v>17</v>
      </c>
      <c r="D156" s="23" t="s">
        <v>17</v>
      </c>
      <c r="E156" s="23" t="s">
        <v>1124</v>
      </c>
      <c r="F156" s="37" t="n">
        <v>4</v>
      </c>
      <c r="G156" s="37" t="n">
        <v>2018</v>
      </c>
      <c r="H156" s="23" t="s">
        <v>1113</v>
      </c>
      <c r="I156" s="23" t="s">
        <v>583</v>
      </c>
      <c r="J156" s="23" t="s">
        <v>66</v>
      </c>
      <c r="K156" s="23" t="s">
        <v>1125</v>
      </c>
      <c r="L156" s="23" t="s">
        <v>68</v>
      </c>
      <c r="M156" s="23" t="s">
        <v>1126</v>
      </c>
      <c r="N156" s="21" t="s">
        <v>1116</v>
      </c>
      <c r="O156" s="9" t="n">
        <v>252</v>
      </c>
      <c r="P156" s="9" t="n">
        <v>294.84</v>
      </c>
      <c r="Q156" s="9" t="s">
        <v>25</v>
      </c>
    </row>
    <row r="157" customFormat="false" ht="39.75" hidden="false" customHeight="true" outlineLevel="0" collapsed="false">
      <c r="A157" s="10" t="s">
        <v>199</v>
      </c>
      <c r="B157" s="37" t="n">
        <v>26</v>
      </c>
      <c r="C157" s="9" t="s">
        <v>17</v>
      </c>
      <c r="D157" s="23" t="s">
        <v>17</v>
      </c>
      <c r="E157" s="23" t="s">
        <v>1127</v>
      </c>
      <c r="F157" s="37" t="n">
        <v>5</v>
      </c>
      <c r="G157" s="37" t="n">
        <v>2018</v>
      </c>
      <c r="H157" s="23" t="s">
        <v>1113</v>
      </c>
      <c r="I157" s="23" t="s">
        <v>583</v>
      </c>
      <c r="J157" s="23" t="s">
        <v>66</v>
      </c>
      <c r="K157" s="23" t="s">
        <v>1128</v>
      </c>
      <c r="L157" s="23" t="s">
        <v>68</v>
      </c>
      <c r="M157" s="23" t="s">
        <v>1129</v>
      </c>
      <c r="N157" s="21" t="s">
        <v>1116</v>
      </c>
      <c r="O157" s="9" t="n">
        <v>100</v>
      </c>
      <c r="P157" s="9" t="n">
        <v>117</v>
      </c>
      <c r="Q157" s="9" t="s">
        <v>25</v>
      </c>
    </row>
    <row r="158" customFormat="false" ht="39.75" hidden="false" customHeight="true" outlineLevel="0" collapsed="false">
      <c r="A158" s="10" t="s">
        <v>199</v>
      </c>
      <c r="B158" s="37" t="n">
        <v>26</v>
      </c>
      <c r="C158" s="9" t="s">
        <v>17</v>
      </c>
      <c r="D158" s="23" t="s">
        <v>17</v>
      </c>
      <c r="E158" s="23" t="s">
        <v>1130</v>
      </c>
      <c r="F158" s="37" t="n">
        <v>6</v>
      </c>
      <c r="G158" s="37" t="n">
        <v>2018</v>
      </c>
      <c r="H158" s="23" t="s">
        <v>1113</v>
      </c>
      <c r="I158" s="23" t="s">
        <v>209</v>
      </c>
      <c r="J158" s="23" t="s">
        <v>66</v>
      </c>
      <c r="K158" s="23" t="s">
        <v>1131</v>
      </c>
      <c r="L158" s="23" t="s">
        <v>68</v>
      </c>
      <c r="M158" s="23" t="s">
        <v>1132</v>
      </c>
      <c r="N158" s="21" t="s">
        <v>1116</v>
      </c>
      <c r="O158" s="9" t="s">
        <v>17</v>
      </c>
      <c r="P158" s="9" t="s">
        <v>17</v>
      </c>
      <c r="Q158" s="9" t="s">
        <v>25</v>
      </c>
    </row>
    <row r="159" customFormat="false" ht="39.75" hidden="false" customHeight="true" outlineLevel="0" collapsed="false">
      <c r="A159" s="10" t="s">
        <v>199</v>
      </c>
      <c r="B159" s="37" t="n">
        <v>26</v>
      </c>
      <c r="C159" s="9" t="s">
        <v>17</v>
      </c>
      <c r="D159" s="23" t="s">
        <v>17</v>
      </c>
      <c r="E159" s="23" t="s">
        <v>1133</v>
      </c>
      <c r="F159" s="37" t="n">
        <v>7</v>
      </c>
      <c r="G159" s="37" t="n">
        <v>2018</v>
      </c>
      <c r="H159" s="23" t="s">
        <v>1113</v>
      </c>
      <c r="I159" s="23" t="s">
        <v>583</v>
      </c>
      <c r="J159" s="23" t="s">
        <v>66</v>
      </c>
      <c r="K159" s="23" t="s">
        <v>1134</v>
      </c>
      <c r="L159" s="23" t="s">
        <v>974</v>
      </c>
      <c r="M159" s="23" t="s">
        <v>1135</v>
      </c>
      <c r="N159" s="21" t="s">
        <v>1116</v>
      </c>
      <c r="O159" s="9" t="n">
        <v>90</v>
      </c>
      <c r="P159" s="9" t="n">
        <v>105.3</v>
      </c>
      <c r="Q159" s="9" t="s">
        <v>38</v>
      </c>
    </row>
    <row r="160" customFormat="false" ht="39.75" hidden="false" customHeight="true" outlineLevel="0" collapsed="false">
      <c r="A160" s="10" t="s">
        <v>199</v>
      </c>
      <c r="B160" s="37" t="n">
        <v>26</v>
      </c>
      <c r="C160" s="9" t="s">
        <v>17</v>
      </c>
      <c r="D160" s="23" t="s">
        <v>17</v>
      </c>
      <c r="E160" s="23" t="s">
        <v>1136</v>
      </c>
      <c r="F160" s="37" t="n">
        <v>8</v>
      </c>
      <c r="G160" s="37" t="n">
        <v>2018</v>
      </c>
      <c r="H160" s="23" t="s">
        <v>1113</v>
      </c>
      <c r="I160" s="23" t="s">
        <v>583</v>
      </c>
      <c r="J160" s="23" t="s">
        <v>66</v>
      </c>
      <c r="K160" s="23" t="s">
        <v>1137</v>
      </c>
      <c r="L160" s="23" t="s">
        <v>1138</v>
      </c>
      <c r="M160" s="23" t="s">
        <v>1139</v>
      </c>
      <c r="N160" s="21" t="s">
        <v>1116</v>
      </c>
      <c r="O160" s="9" t="n">
        <v>60</v>
      </c>
      <c r="P160" s="9" t="n">
        <v>70.2</v>
      </c>
      <c r="Q160" s="9" t="s">
        <v>110</v>
      </c>
    </row>
    <row r="161" customFormat="false" ht="39.75" hidden="false" customHeight="true" outlineLevel="0" collapsed="false">
      <c r="A161" s="10" t="s">
        <v>199</v>
      </c>
      <c r="B161" s="37" t="n">
        <v>26</v>
      </c>
      <c r="C161" s="9" t="s">
        <v>17</v>
      </c>
      <c r="D161" s="23" t="s">
        <v>17</v>
      </c>
      <c r="E161" s="23" t="s">
        <v>1140</v>
      </c>
      <c r="F161" s="37" t="n">
        <v>9</v>
      </c>
      <c r="G161" s="37" t="n">
        <v>2018</v>
      </c>
      <c r="H161" s="23" t="s">
        <v>1113</v>
      </c>
      <c r="I161" s="23" t="s">
        <v>209</v>
      </c>
      <c r="J161" s="23" t="s">
        <v>66</v>
      </c>
      <c r="K161" s="23" t="s">
        <v>1131</v>
      </c>
      <c r="L161" s="23" t="s">
        <v>119</v>
      </c>
      <c r="M161" s="23" t="s">
        <v>1141</v>
      </c>
      <c r="N161" s="21" t="s">
        <v>1116</v>
      </c>
      <c r="O161" s="9" t="s">
        <v>17</v>
      </c>
      <c r="P161" s="9" t="s">
        <v>17</v>
      </c>
      <c r="Q161" s="9" t="s">
        <v>119</v>
      </c>
    </row>
    <row r="162" customFormat="false" ht="39.75" hidden="false" customHeight="true" outlineLevel="0" collapsed="false">
      <c r="A162" s="10" t="s">
        <v>199</v>
      </c>
      <c r="B162" s="37" t="n">
        <v>26</v>
      </c>
      <c r="C162" s="9" t="s">
        <v>17</v>
      </c>
      <c r="D162" s="23" t="s">
        <v>17</v>
      </c>
      <c r="E162" s="23" t="s">
        <v>1142</v>
      </c>
      <c r="F162" s="37" t="n">
        <v>10</v>
      </c>
      <c r="G162" s="37" t="n">
        <v>2018</v>
      </c>
      <c r="H162" s="23" t="s">
        <v>1113</v>
      </c>
      <c r="I162" s="23" t="s">
        <v>593</v>
      </c>
      <c r="J162" s="23" t="s">
        <v>66</v>
      </c>
      <c r="K162" s="23" t="s">
        <v>1143</v>
      </c>
      <c r="L162" s="23" t="s">
        <v>68</v>
      </c>
      <c r="M162" s="23" t="s">
        <v>1144</v>
      </c>
      <c r="N162" s="21" t="s">
        <v>1116</v>
      </c>
      <c r="O162" s="9" t="s">
        <v>17</v>
      </c>
      <c r="P162" s="9" t="s">
        <v>17</v>
      </c>
      <c r="Q162" s="9" t="s">
        <v>25</v>
      </c>
    </row>
    <row r="163" customFormat="false" ht="39.75" hidden="false" customHeight="true" outlineLevel="0" collapsed="false">
      <c r="A163" s="10" t="s">
        <v>199</v>
      </c>
      <c r="B163" s="37" t="n">
        <v>26</v>
      </c>
      <c r="C163" s="9" t="s">
        <v>17</v>
      </c>
      <c r="D163" s="23" t="s">
        <v>17</v>
      </c>
      <c r="E163" s="23" t="s">
        <v>1145</v>
      </c>
      <c r="F163" s="37" t="n">
        <v>11</v>
      </c>
      <c r="G163" s="37" t="n">
        <v>2018</v>
      </c>
      <c r="H163" s="23" t="s">
        <v>1113</v>
      </c>
      <c r="I163" s="23" t="s">
        <v>231</v>
      </c>
      <c r="J163" s="23" t="s">
        <v>66</v>
      </c>
      <c r="K163" s="23" t="s">
        <v>1146</v>
      </c>
      <c r="L163" s="23" t="s">
        <v>1147</v>
      </c>
      <c r="M163" s="23" t="s">
        <v>1148</v>
      </c>
      <c r="N163" s="21" t="s">
        <v>1116</v>
      </c>
      <c r="O163" s="9" t="s">
        <v>17</v>
      </c>
      <c r="P163" s="9" t="s">
        <v>17</v>
      </c>
      <c r="Q163" s="9" t="s">
        <v>25</v>
      </c>
    </row>
    <row r="164" customFormat="false" ht="39.75" hidden="false" customHeight="true" outlineLevel="0" collapsed="false">
      <c r="A164" s="10" t="s">
        <v>199</v>
      </c>
      <c r="B164" s="37" t="n">
        <v>26</v>
      </c>
      <c r="C164" s="9" t="s">
        <v>17</v>
      </c>
      <c r="D164" s="23" t="s">
        <v>17</v>
      </c>
      <c r="E164" s="23" t="s">
        <v>1149</v>
      </c>
      <c r="F164" s="37" t="n">
        <v>12</v>
      </c>
      <c r="G164" s="37" t="n">
        <v>2018</v>
      </c>
      <c r="H164" s="23" t="s">
        <v>1113</v>
      </c>
      <c r="I164" s="23" t="s">
        <v>231</v>
      </c>
      <c r="J164" s="23" t="s">
        <v>66</v>
      </c>
      <c r="K164" s="23" t="s">
        <v>1146</v>
      </c>
      <c r="L164" s="23" t="s">
        <v>25</v>
      </c>
      <c r="M164" s="23" t="s">
        <v>1150</v>
      </c>
      <c r="N164" s="21" t="s">
        <v>1116</v>
      </c>
      <c r="O164" s="9" t="s">
        <v>17</v>
      </c>
      <c r="P164" s="9" t="s">
        <v>17</v>
      </c>
      <c r="Q164" s="9" t="s">
        <v>25</v>
      </c>
    </row>
    <row r="165" customFormat="false" ht="39.75" hidden="false" customHeight="true" outlineLevel="0" collapsed="false">
      <c r="A165" s="10" t="s">
        <v>199</v>
      </c>
      <c r="B165" s="37" t="n">
        <v>26</v>
      </c>
      <c r="C165" s="9" t="s">
        <v>17</v>
      </c>
      <c r="D165" s="23" t="s">
        <v>17</v>
      </c>
      <c r="E165" s="23" t="s">
        <v>1151</v>
      </c>
      <c r="F165" s="37" t="n">
        <v>13</v>
      </c>
      <c r="G165" s="37" t="n">
        <v>2018</v>
      </c>
      <c r="H165" s="23" t="s">
        <v>1113</v>
      </c>
      <c r="I165" s="23" t="s">
        <v>231</v>
      </c>
      <c r="J165" s="23" t="s">
        <v>66</v>
      </c>
      <c r="K165" s="23" t="s">
        <v>1146</v>
      </c>
      <c r="L165" s="23" t="s">
        <v>25</v>
      </c>
      <c r="M165" s="23" t="s">
        <v>1152</v>
      </c>
      <c r="N165" s="21" t="s">
        <v>1116</v>
      </c>
      <c r="O165" s="9" t="s">
        <v>17</v>
      </c>
      <c r="P165" s="9" t="s">
        <v>17</v>
      </c>
      <c r="Q165" s="9" t="s">
        <v>25</v>
      </c>
    </row>
    <row r="166" customFormat="false" ht="39.75" hidden="false" customHeight="true" outlineLevel="0" collapsed="false">
      <c r="A166" s="10" t="s">
        <v>199</v>
      </c>
      <c r="B166" s="37" t="n">
        <v>26</v>
      </c>
      <c r="C166" s="9" t="s">
        <v>17</v>
      </c>
      <c r="D166" s="23" t="s">
        <v>17</v>
      </c>
      <c r="E166" s="23" t="s">
        <v>1153</v>
      </c>
      <c r="F166" s="37" t="n">
        <v>14</v>
      </c>
      <c r="G166" s="37" t="n">
        <v>2018</v>
      </c>
      <c r="H166" s="23" t="s">
        <v>1113</v>
      </c>
      <c r="I166" s="23" t="s">
        <v>231</v>
      </c>
      <c r="J166" s="23" t="s">
        <v>66</v>
      </c>
      <c r="K166" s="23" t="s">
        <v>1146</v>
      </c>
      <c r="L166" s="23" t="s">
        <v>38</v>
      </c>
      <c r="M166" s="23" t="s">
        <v>1154</v>
      </c>
      <c r="N166" s="21" t="s">
        <v>1116</v>
      </c>
      <c r="O166" s="9" t="s">
        <v>17</v>
      </c>
      <c r="P166" s="9" t="s">
        <v>17</v>
      </c>
      <c r="Q166" s="9" t="s">
        <v>38</v>
      </c>
    </row>
    <row r="167" customFormat="false" ht="39.75" hidden="false" customHeight="true" outlineLevel="0" collapsed="false">
      <c r="A167" s="10" t="s">
        <v>199</v>
      </c>
      <c r="B167" s="37" t="n">
        <v>26</v>
      </c>
      <c r="C167" s="9" t="s">
        <v>17</v>
      </c>
      <c r="D167" s="23" t="s">
        <v>17</v>
      </c>
      <c r="E167" s="23" t="s">
        <v>1155</v>
      </c>
      <c r="F167" s="37" t="n">
        <v>15</v>
      </c>
      <c r="G167" s="37" t="n">
        <v>2018</v>
      </c>
      <c r="H167" s="23" t="s">
        <v>1113</v>
      </c>
      <c r="I167" s="23" t="s">
        <v>209</v>
      </c>
      <c r="J167" s="23" t="s">
        <v>66</v>
      </c>
      <c r="K167" s="23" t="s">
        <v>1131</v>
      </c>
      <c r="L167" s="23" t="s">
        <v>68</v>
      </c>
      <c r="M167" s="23" t="s">
        <v>1156</v>
      </c>
      <c r="N167" s="21" t="s">
        <v>1116</v>
      </c>
      <c r="O167" s="9" t="s">
        <v>17</v>
      </c>
      <c r="P167" s="9" t="s">
        <v>17</v>
      </c>
      <c r="Q167" s="9" t="s">
        <v>119</v>
      </c>
    </row>
    <row r="168" customFormat="false" ht="39.75" hidden="false" customHeight="true" outlineLevel="0" collapsed="false">
      <c r="A168" s="10" t="s">
        <v>199</v>
      </c>
      <c r="B168" s="37" t="n">
        <v>26</v>
      </c>
      <c r="C168" s="9" t="s">
        <v>17</v>
      </c>
      <c r="D168" s="23" t="s">
        <v>17</v>
      </c>
      <c r="E168" s="23" t="s">
        <v>1157</v>
      </c>
      <c r="F168" s="37" t="n">
        <v>16</v>
      </c>
      <c r="G168" s="37" t="n">
        <v>2018</v>
      </c>
      <c r="H168" s="23" t="s">
        <v>1113</v>
      </c>
      <c r="I168" s="23" t="s">
        <v>583</v>
      </c>
      <c r="J168" s="23" t="s">
        <v>66</v>
      </c>
      <c r="K168" s="23" t="s">
        <v>1158</v>
      </c>
      <c r="L168" s="23" t="s">
        <v>119</v>
      </c>
      <c r="M168" s="23" t="s">
        <v>1159</v>
      </c>
      <c r="N168" s="21" t="s">
        <v>1116</v>
      </c>
      <c r="O168" s="9" t="n">
        <v>20</v>
      </c>
      <c r="P168" s="9" t="n">
        <v>23.4</v>
      </c>
      <c r="Q168" s="9" t="s">
        <v>119</v>
      </c>
    </row>
    <row r="169" customFormat="false" ht="39.75" hidden="false" customHeight="true" outlineLevel="0" collapsed="false">
      <c r="A169" s="10" t="s">
        <v>199</v>
      </c>
      <c r="B169" s="37" t="n">
        <v>26</v>
      </c>
      <c r="C169" s="9" t="s">
        <v>17</v>
      </c>
      <c r="D169" s="23" t="s">
        <v>17</v>
      </c>
      <c r="E169" s="23" t="s">
        <v>1160</v>
      </c>
      <c r="F169" s="37" t="n">
        <v>17</v>
      </c>
      <c r="G169" s="37" t="n">
        <v>2018</v>
      </c>
      <c r="H169" s="23" t="s">
        <v>1113</v>
      </c>
      <c r="I169" s="23" t="s">
        <v>583</v>
      </c>
      <c r="J169" s="23" t="s">
        <v>66</v>
      </c>
      <c r="K169" s="23" t="s">
        <v>1161</v>
      </c>
      <c r="L169" s="23" t="s">
        <v>119</v>
      </c>
      <c r="M169" s="23" t="s">
        <v>1162</v>
      </c>
      <c r="N169" s="21" t="s">
        <v>1116</v>
      </c>
      <c r="O169" s="9" t="n">
        <v>3.6</v>
      </c>
      <c r="P169" s="9" t="n">
        <v>4.212</v>
      </c>
      <c r="Q169" s="9" t="s">
        <v>119</v>
      </c>
    </row>
    <row r="170" customFormat="false" ht="39.75" hidden="false" customHeight="true" outlineLevel="0" collapsed="false">
      <c r="A170" s="10" t="s">
        <v>199</v>
      </c>
      <c r="B170" s="37" t="n">
        <v>26</v>
      </c>
      <c r="C170" s="9" t="s">
        <v>17</v>
      </c>
      <c r="D170" s="23" t="s">
        <v>17</v>
      </c>
      <c r="E170" s="23" t="s">
        <v>1163</v>
      </c>
      <c r="F170" s="37" t="n">
        <v>18</v>
      </c>
      <c r="G170" s="37" t="n">
        <v>2018</v>
      </c>
      <c r="H170" s="23" t="s">
        <v>1113</v>
      </c>
      <c r="I170" s="23" t="s">
        <v>583</v>
      </c>
      <c r="J170" s="23" t="s">
        <v>66</v>
      </c>
      <c r="K170" s="23" t="s">
        <v>1164</v>
      </c>
      <c r="L170" s="23" t="s">
        <v>44</v>
      </c>
      <c r="M170" s="23" t="s">
        <v>1165</v>
      </c>
      <c r="N170" s="21" t="s">
        <v>1116</v>
      </c>
      <c r="O170" s="9" t="n">
        <v>1.5</v>
      </c>
      <c r="P170" s="9" t="n">
        <v>1.755</v>
      </c>
      <c r="Q170" s="9" t="s">
        <v>44</v>
      </c>
    </row>
    <row r="171" customFormat="false" ht="39.75" hidden="false" customHeight="true" outlineLevel="0" collapsed="false">
      <c r="A171" s="10" t="s">
        <v>199</v>
      </c>
      <c r="B171" s="37" t="n">
        <v>26</v>
      </c>
      <c r="C171" s="9" t="s">
        <v>17</v>
      </c>
      <c r="D171" s="23" t="s">
        <v>17</v>
      </c>
      <c r="E171" s="23" t="s">
        <v>1166</v>
      </c>
      <c r="F171" s="37" t="n">
        <v>19</v>
      </c>
      <c r="G171" s="37" t="n">
        <v>2018</v>
      </c>
      <c r="H171" s="23" t="s">
        <v>1113</v>
      </c>
      <c r="I171" s="23" t="s">
        <v>583</v>
      </c>
      <c r="J171" s="23" t="s">
        <v>66</v>
      </c>
      <c r="K171" s="23" t="s">
        <v>1161</v>
      </c>
      <c r="L171" s="23" t="s">
        <v>44</v>
      </c>
      <c r="M171" s="23" t="s">
        <v>1167</v>
      </c>
      <c r="N171" s="21" t="s">
        <v>1116</v>
      </c>
      <c r="O171" s="9" t="n">
        <v>3.6</v>
      </c>
      <c r="P171" s="9" t="n">
        <v>4.212</v>
      </c>
      <c r="Q171" s="9" t="s">
        <v>44</v>
      </c>
    </row>
    <row r="172" customFormat="false" ht="39.75" hidden="false" customHeight="true" outlineLevel="0" collapsed="false">
      <c r="A172" s="10" t="s">
        <v>199</v>
      </c>
      <c r="B172" s="37" t="n">
        <v>26</v>
      </c>
      <c r="C172" s="9" t="s">
        <v>17</v>
      </c>
      <c r="D172" s="23" t="s">
        <v>17</v>
      </c>
      <c r="E172" s="23" t="s">
        <v>1168</v>
      </c>
      <c r="F172" s="37" t="n">
        <v>20</v>
      </c>
      <c r="G172" s="37" t="n">
        <v>2018</v>
      </c>
      <c r="H172" s="23" t="s">
        <v>1113</v>
      </c>
      <c r="I172" s="23" t="s">
        <v>583</v>
      </c>
      <c r="J172" s="23" t="s">
        <v>66</v>
      </c>
      <c r="K172" s="23" t="s">
        <v>1158</v>
      </c>
      <c r="L172" s="23" t="s">
        <v>68</v>
      </c>
      <c r="M172" s="23" t="s">
        <v>1169</v>
      </c>
      <c r="N172" s="21" t="s">
        <v>1116</v>
      </c>
      <c r="O172" s="9" t="n">
        <v>20</v>
      </c>
      <c r="P172" s="9" t="n">
        <v>23.4</v>
      </c>
      <c r="Q172" s="9" t="s">
        <v>25</v>
      </c>
    </row>
    <row r="173" customFormat="false" ht="39.75" hidden="false" customHeight="true" outlineLevel="0" collapsed="false">
      <c r="A173" s="10" t="s">
        <v>199</v>
      </c>
      <c r="B173" s="37" t="n">
        <v>26</v>
      </c>
      <c r="C173" s="9" t="s">
        <v>17</v>
      </c>
      <c r="D173" s="23" t="s">
        <v>17</v>
      </c>
      <c r="E173" s="23" t="s">
        <v>1170</v>
      </c>
      <c r="F173" s="37" t="n">
        <v>21</v>
      </c>
      <c r="G173" s="37" t="n">
        <v>2018</v>
      </c>
      <c r="H173" s="23" t="s">
        <v>1113</v>
      </c>
      <c r="I173" s="23" t="s">
        <v>209</v>
      </c>
      <c r="J173" s="23" t="s">
        <v>66</v>
      </c>
      <c r="K173" s="23" t="s">
        <v>1131</v>
      </c>
      <c r="L173" s="23" t="s">
        <v>110</v>
      </c>
      <c r="M173" s="23" t="s">
        <v>1171</v>
      </c>
      <c r="N173" s="21" t="s">
        <v>1116</v>
      </c>
      <c r="O173" s="9" t="s">
        <v>17</v>
      </c>
      <c r="P173" s="23" t="s">
        <v>17</v>
      </c>
      <c r="Q173" s="9" t="s">
        <v>110</v>
      </c>
    </row>
    <row r="174" customFormat="false" ht="39.75" hidden="false" customHeight="true" outlineLevel="0" collapsed="false">
      <c r="A174" s="10" t="s">
        <v>199</v>
      </c>
      <c r="B174" s="37" t="n">
        <v>26</v>
      </c>
      <c r="C174" s="9" t="s">
        <v>17</v>
      </c>
      <c r="D174" s="23" t="s">
        <v>17</v>
      </c>
      <c r="E174" s="23" t="s">
        <v>1172</v>
      </c>
      <c r="F174" s="37" t="n">
        <v>22</v>
      </c>
      <c r="G174" s="37" t="n">
        <v>2018</v>
      </c>
      <c r="H174" s="23" t="s">
        <v>1113</v>
      </c>
      <c r="I174" s="23" t="s">
        <v>209</v>
      </c>
      <c r="J174" s="23" t="s">
        <v>66</v>
      </c>
      <c r="K174" s="23" t="s">
        <v>1173</v>
      </c>
      <c r="L174" s="23" t="s">
        <v>119</v>
      </c>
      <c r="M174" s="23" t="s">
        <v>1174</v>
      </c>
      <c r="N174" s="21" t="s">
        <v>1116</v>
      </c>
      <c r="O174" s="9" t="s">
        <v>17</v>
      </c>
      <c r="P174" s="23" t="s">
        <v>17</v>
      </c>
      <c r="Q174" s="9" t="s">
        <v>119</v>
      </c>
    </row>
    <row r="175" customFormat="false" ht="39.75" hidden="false" customHeight="true" outlineLevel="0" collapsed="false">
      <c r="A175" s="10" t="s">
        <v>199</v>
      </c>
      <c r="B175" s="37" t="n">
        <v>26</v>
      </c>
      <c r="C175" s="9" t="s">
        <v>17</v>
      </c>
      <c r="D175" s="23" t="s">
        <v>17</v>
      </c>
      <c r="E175" s="23" t="s">
        <v>1175</v>
      </c>
      <c r="F175" s="37" t="n">
        <v>23</v>
      </c>
      <c r="G175" s="37" t="n">
        <v>2018</v>
      </c>
      <c r="H175" s="23" t="s">
        <v>1113</v>
      </c>
      <c r="I175" s="23" t="s">
        <v>593</v>
      </c>
      <c r="J175" s="23" t="s">
        <v>66</v>
      </c>
      <c r="K175" s="23" t="s">
        <v>1173</v>
      </c>
      <c r="L175" s="23" t="s">
        <v>119</v>
      </c>
      <c r="M175" s="23" t="s">
        <v>1176</v>
      </c>
      <c r="N175" s="21" t="s">
        <v>1116</v>
      </c>
      <c r="O175" s="9" t="s">
        <v>17</v>
      </c>
      <c r="P175" s="23" t="s">
        <v>17</v>
      </c>
      <c r="Q175" s="9" t="s">
        <v>119</v>
      </c>
    </row>
    <row r="176" customFormat="false" ht="39.75" hidden="false" customHeight="true" outlineLevel="0" collapsed="false">
      <c r="A176" s="10" t="s">
        <v>191</v>
      </c>
      <c r="B176" s="37" t="n">
        <v>25</v>
      </c>
      <c r="C176" s="9" t="s">
        <v>203</v>
      </c>
      <c r="D176" s="23" t="s">
        <v>28</v>
      </c>
      <c r="E176" s="23" t="s">
        <v>1177</v>
      </c>
      <c r="F176" s="37" t="n">
        <v>1</v>
      </c>
      <c r="G176" s="37" t="n">
        <v>2023</v>
      </c>
      <c r="H176" s="23" t="s">
        <v>204</v>
      </c>
      <c r="I176" s="23" t="s">
        <v>215</v>
      </c>
      <c r="J176" s="23" t="s">
        <v>66</v>
      </c>
      <c r="K176" s="23" t="s">
        <v>1178</v>
      </c>
      <c r="L176" s="23" t="s">
        <v>974</v>
      </c>
      <c r="M176" s="23" t="s">
        <v>1179</v>
      </c>
      <c r="N176" s="23" t="s">
        <v>1180</v>
      </c>
      <c r="O176" s="9" t="s">
        <v>17</v>
      </c>
      <c r="P176" s="23" t="s">
        <v>17</v>
      </c>
      <c r="Q176" s="9" t="s">
        <v>38</v>
      </c>
    </row>
    <row r="177" customFormat="false" ht="39.75" hidden="false" customHeight="true" outlineLevel="0" collapsed="false">
      <c r="A177" s="10" t="s">
        <v>191</v>
      </c>
      <c r="B177" s="37" t="n">
        <v>25</v>
      </c>
      <c r="C177" s="9" t="s">
        <v>203</v>
      </c>
      <c r="D177" s="23" t="s">
        <v>28</v>
      </c>
      <c r="E177" s="23" t="s">
        <v>1181</v>
      </c>
      <c r="F177" s="37" t="n">
        <v>2</v>
      </c>
      <c r="G177" s="37" t="n">
        <v>2023</v>
      </c>
      <c r="H177" s="23" t="s">
        <v>204</v>
      </c>
      <c r="I177" s="23" t="s">
        <v>209</v>
      </c>
      <c r="J177" s="23" t="s">
        <v>66</v>
      </c>
      <c r="K177" s="23" t="s">
        <v>1178</v>
      </c>
      <c r="L177" s="23" t="s">
        <v>537</v>
      </c>
      <c r="M177" s="23" t="s">
        <v>1182</v>
      </c>
      <c r="N177" s="23" t="s">
        <v>1180</v>
      </c>
      <c r="O177" s="9" t="s">
        <v>17</v>
      </c>
      <c r="P177" s="23" t="s">
        <v>17</v>
      </c>
      <c r="Q177" s="9" t="s">
        <v>119</v>
      </c>
    </row>
    <row r="178" customFormat="false" ht="39.75" hidden="false" customHeight="true" outlineLevel="0" collapsed="false">
      <c r="A178" s="10" t="s">
        <v>191</v>
      </c>
      <c r="B178" s="37" t="n">
        <v>25</v>
      </c>
      <c r="C178" s="9" t="s">
        <v>203</v>
      </c>
      <c r="D178" s="23" t="s">
        <v>28</v>
      </c>
      <c r="E178" s="23" t="s">
        <v>1183</v>
      </c>
      <c r="F178" s="37" t="n">
        <v>3</v>
      </c>
      <c r="G178" s="37" t="n">
        <v>2023</v>
      </c>
      <c r="H178" s="23" t="s">
        <v>1184</v>
      </c>
      <c r="I178" s="23" t="s">
        <v>583</v>
      </c>
      <c r="J178" s="23" t="s">
        <v>66</v>
      </c>
      <c r="K178" s="23" t="s">
        <v>1178</v>
      </c>
      <c r="L178" s="23" t="s">
        <v>119</v>
      </c>
      <c r="M178" s="23" t="s">
        <v>1185</v>
      </c>
      <c r="N178" s="23" t="s">
        <v>1180</v>
      </c>
      <c r="O178" s="9" t="s">
        <v>17</v>
      </c>
      <c r="P178" s="23" t="s">
        <v>17</v>
      </c>
      <c r="Q178" s="9" t="s">
        <v>119</v>
      </c>
    </row>
    <row r="179" customFormat="false" ht="39.75" hidden="false" customHeight="true" outlineLevel="0" collapsed="false">
      <c r="A179" s="10" t="s">
        <v>191</v>
      </c>
      <c r="B179" s="37" t="n">
        <v>25</v>
      </c>
      <c r="C179" s="9" t="s">
        <v>203</v>
      </c>
      <c r="D179" s="23" t="s">
        <v>28</v>
      </c>
      <c r="E179" s="23" t="s">
        <v>1186</v>
      </c>
      <c r="F179" s="37" t="n">
        <v>4</v>
      </c>
      <c r="G179" s="37" t="n">
        <v>2023</v>
      </c>
      <c r="H179" s="23" t="s">
        <v>273</v>
      </c>
      <c r="I179" s="23" t="s">
        <v>583</v>
      </c>
      <c r="J179" s="23" t="s">
        <v>66</v>
      </c>
      <c r="K179" s="23" t="s">
        <v>1187</v>
      </c>
      <c r="L179" s="23" t="s">
        <v>119</v>
      </c>
      <c r="M179" s="23" t="s">
        <v>1188</v>
      </c>
      <c r="N179" s="23" t="s">
        <v>1180</v>
      </c>
      <c r="O179" s="9" t="s">
        <v>17</v>
      </c>
      <c r="P179" s="23" t="s">
        <v>17</v>
      </c>
      <c r="Q179" s="9" t="s">
        <v>119</v>
      </c>
    </row>
    <row r="180" customFormat="false" ht="39.75" hidden="false" customHeight="true" outlineLevel="0" collapsed="false">
      <c r="A180" s="10" t="s">
        <v>191</v>
      </c>
      <c r="B180" s="37" t="n">
        <v>25</v>
      </c>
      <c r="C180" s="9" t="s">
        <v>203</v>
      </c>
      <c r="D180" s="23" t="s">
        <v>28</v>
      </c>
      <c r="E180" s="23" t="s">
        <v>1189</v>
      </c>
      <c r="F180" s="37" t="n">
        <v>5</v>
      </c>
      <c r="G180" s="37" t="n">
        <v>2023</v>
      </c>
      <c r="H180" s="23" t="s">
        <v>192</v>
      </c>
      <c r="I180" s="23" t="s">
        <v>583</v>
      </c>
      <c r="J180" s="23" t="s">
        <v>66</v>
      </c>
      <c r="K180" s="23" t="s">
        <v>1178</v>
      </c>
      <c r="L180" s="23" t="s">
        <v>110</v>
      </c>
      <c r="M180" s="23" t="s">
        <v>1190</v>
      </c>
      <c r="N180" s="23" t="s">
        <v>1180</v>
      </c>
      <c r="O180" s="9" t="s">
        <v>17</v>
      </c>
      <c r="P180" s="23" t="s">
        <v>17</v>
      </c>
      <c r="Q180" s="9" t="s">
        <v>110</v>
      </c>
    </row>
    <row r="181" customFormat="false" ht="39.75" hidden="false" customHeight="true" outlineLevel="0" collapsed="false">
      <c r="A181" s="10" t="s">
        <v>191</v>
      </c>
      <c r="B181" s="37" t="n">
        <v>25</v>
      </c>
      <c r="C181" s="9" t="s">
        <v>203</v>
      </c>
      <c r="D181" s="23" t="s">
        <v>28</v>
      </c>
      <c r="E181" s="23" t="s">
        <v>1191</v>
      </c>
      <c r="F181" s="37" t="n">
        <v>6</v>
      </c>
      <c r="G181" s="37" t="n">
        <v>2023</v>
      </c>
      <c r="H181" s="23" t="s">
        <v>204</v>
      </c>
      <c r="I181" s="23" t="s">
        <v>583</v>
      </c>
      <c r="J181" s="23" t="s">
        <v>66</v>
      </c>
      <c r="K181" s="23" t="s">
        <v>1178</v>
      </c>
      <c r="L181" s="23" t="s">
        <v>1192</v>
      </c>
      <c r="M181" s="23" t="s">
        <v>1193</v>
      </c>
      <c r="N181" s="23" t="s">
        <v>1180</v>
      </c>
      <c r="O181" s="9" t="s">
        <v>17</v>
      </c>
      <c r="P181" s="23" t="s">
        <v>17</v>
      </c>
      <c r="Q181" s="9" t="s">
        <v>119</v>
      </c>
    </row>
    <row r="182" customFormat="false" ht="39.75" hidden="false" customHeight="true" outlineLevel="0" collapsed="false">
      <c r="A182" s="10" t="s">
        <v>191</v>
      </c>
      <c r="B182" s="37" t="n">
        <v>25</v>
      </c>
      <c r="C182" s="9" t="s">
        <v>203</v>
      </c>
      <c r="D182" s="23" t="s">
        <v>28</v>
      </c>
      <c r="E182" s="23" t="s">
        <v>1194</v>
      </c>
      <c r="F182" s="37" t="n">
        <v>7</v>
      </c>
      <c r="G182" s="37" t="n">
        <v>2023</v>
      </c>
      <c r="H182" s="23" t="s">
        <v>192</v>
      </c>
      <c r="I182" s="23" t="s">
        <v>209</v>
      </c>
      <c r="J182" s="23" t="s">
        <v>66</v>
      </c>
      <c r="K182" s="23" t="s">
        <v>1178</v>
      </c>
      <c r="L182" s="23" t="s">
        <v>537</v>
      </c>
      <c r="M182" s="23" t="s">
        <v>1195</v>
      </c>
      <c r="N182" s="23" t="s">
        <v>1180</v>
      </c>
      <c r="O182" s="9" t="s">
        <v>17</v>
      </c>
      <c r="P182" s="23" t="s">
        <v>17</v>
      </c>
      <c r="Q182" s="9" t="s">
        <v>119</v>
      </c>
    </row>
    <row r="183" customFormat="false" ht="39.75" hidden="false" customHeight="true" outlineLevel="0" collapsed="false">
      <c r="A183" s="10" t="s">
        <v>191</v>
      </c>
      <c r="B183" s="37" t="n">
        <v>25</v>
      </c>
      <c r="C183" s="9" t="s">
        <v>203</v>
      </c>
      <c r="D183" s="23" t="s">
        <v>28</v>
      </c>
      <c r="E183" s="23" t="s">
        <v>1196</v>
      </c>
      <c r="F183" s="37" t="n">
        <v>8</v>
      </c>
      <c r="G183" s="37" t="n">
        <v>2023</v>
      </c>
      <c r="H183" s="23" t="s">
        <v>192</v>
      </c>
      <c r="I183" s="23" t="s">
        <v>209</v>
      </c>
      <c r="J183" s="23" t="s">
        <v>66</v>
      </c>
      <c r="K183" s="23" t="s">
        <v>1178</v>
      </c>
      <c r="L183" s="23" t="s">
        <v>119</v>
      </c>
      <c r="M183" s="23" t="s">
        <v>1197</v>
      </c>
      <c r="N183" s="23" t="s">
        <v>1180</v>
      </c>
      <c r="O183" s="9" t="s">
        <v>17</v>
      </c>
      <c r="P183" s="23" t="s">
        <v>17</v>
      </c>
      <c r="Q183" s="9" t="s">
        <v>119</v>
      </c>
    </row>
    <row r="184" customFormat="false" ht="39.75" hidden="false" customHeight="true" outlineLevel="0" collapsed="false">
      <c r="A184" s="10" t="s">
        <v>191</v>
      </c>
      <c r="B184" s="37" t="n">
        <v>25</v>
      </c>
      <c r="C184" s="9" t="s">
        <v>203</v>
      </c>
      <c r="D184" s="23" t="s">
        <v>28</v>
      </c>
      <c r="E184" s="23" t="s">
        <v>1198</v>
      </c>
      <c r="F184" s="37" t="n">
        <v>9</v>
      </c>
      <c r="G184" s="37" t="n">
        <v>2023</v>
      </c>
      <c r="H184" s="23" t="s">
        <v>376</v>
      </c>
      <c r="I184" s="23" t="s">
        <v>583</v>
      </c>
      <c r="J184" s="23" t="s">
        <v>66</v>
      </c>
      <c r="K184" s="23" t="s">
        <v>1178</v>
      </c>
      <c r="L184" s="23" t="s">
        <v>25</v>
      </c>
      <c r="M184" s="23" t="s">
        <v>1199</v>
      </c>
      <c r="N184" s="23" t="s">
        <v>1180</v>
      </c>
      <c r="O184" s="9" t="s">
        <v>17</v>
      </c>
      <c r="P184" s="23" t="s">
        <v>17</v>
      </c>
      <c r="Q184" s="9" t="s">
        <v>25</v>
      </c>
    </row>
    <row r="185" customFormat="false" ht="39.75" hidden="false" customHeight="true" outlineLevel="0" collapsed="false">
      <c r="A185" s="10" t="s">
        <v>191</v>
      </c>
      <c r="B185" s="37" t="n">
        <v>25</v>
      </c>
      <c r="C185" s="9" t="s">
        <v>203</v>
      </c>
      <c r="D185" s="23" t="s">
        <v>28</v>
      </c>
      <c r="E185" s="23" t="s">
        <v>1200</v>
      </c>
      <c r="F185" s="37" t="n">
        <v>10</v>
      </c>
      <c r="G185" s="37" t="n">
        <v>2023</v>
      </c>
      <c r="H185" s="23" t="s">
        <v>192</v>
      </c>
      <c r="I185" s="23" t="s">
        <v>1121</v>
      </c>
      <c r="J185" s="23" t="s">
        <v>66</v>
      </c>
      <c r="K185" s="23" t="s">
        <v>1201</v>
      </c>
      <c r="L185" s="23" t="s">
        <v>537</v>
      </c>
      <c r="M185" s="23" t="s">
        <v>1202</v>
      </c>
      <c r="N185" s="23" t="s">
        <v>1180</v>
      </c>
      <c r="O185" s="9" t="n">
        <v>175</v>
      </c>
      <c r="P185" s="23" t="n">
        <v>204.75</v>
      </c>
      <c r="Q185" s="9" t="s">
        <v>44</v>
      </c>
    </row>
    <row r="186" customFormat="false" ht="39.75" hidden="false" customHeight="true" outlineLevel="0" collapsed="false">
      <c r="A186" s="10" t="s">
        <v>191</v>
      </c>
      <c r="B186" s="37" t="n">
        <v>25</v>
      </c>
      <c r="C186" s="9" t="s">
        <v>203</v>
      </c>
      <c r="D186" s="23" t="s">
        <v>28</v>
      </c>
      <c r="E186" s="23" t="s">
        <v>1203</v>
      </c>
      <c r="F186" s="37" t="n">
        <v>11</v>
      </c>
      <c r="G186" s="37" t="n">
        <v>2023</v>
      </c>
      <c r="H186" s="23" t="s">
        <v>192</v>
      </c>
      <c r="I186" s="23" t="s">
        <v>1121</v>
      </c>
      <c r="J186" s="23" t="s">
        <v>66</v>
      </c>
      <c r="K186" s="23" t="s">
        <v>1201</v>
      </c>
      <c r="L186" s="23" t="s">
        <v>119</v>
      </c>
      <c r="M186" s="23" t="s">
        <v>1204</v>
      </c>
      <c r="N186" s="23" t="s">
        <v>1180</v>
      </c>
      <c r="O186" s="9" t="n">
        <v>175</v>
      </c>
      <c r="P186" s="23" t="n">
        <v>204.75</v>
      </c>
      <c r="Q186" s="9" t="s">
        <v>119</v>
      </c>
    </row>
    <row r="187" customFormat="false" ht="39.75" hidden="false" customHeight="true" outlineLevel="0" collapsed="false">
      <c r="A187" s="10" t="s">
        <v>191</v>
      </c>
      <c r="B187" s="37" t="n">
        <v>25</v>
      </c>
      <c r="C187" s="9" t="s">
        <v>203</v>
      </c>
      <c r="D187" s="23" t="s">
        <v>28</v>
      </c>
      <c r="E187" s="23" t="s">
        <v>1205</v>
      </c>
      <c r="F187" s="37" t="n">
        <v>12</v>
      </c>
      <c r="G187" s="37" t="n">
        <v>2023</v>
      </c>
      <c r="H187" s="23" t="s">
        <v>18</v>
      </c>
      <c r="I187" s="23" t="s">
        <v>1121</v>
      </c>
      <c r="J187" s="23" t="s">
        <v>66</v>
      </c>
      <c r="K187" s="23" t="s">
        <v>1206</v>
      </c>
      <c r="L187" s="23" t="s">
        <v>119</v>
      </c>
      <c r="M187" s="23" t="s">
        <v>1207</v>
      </c>
      <c r="N187" s="23" t="s">
        <v>1180</v>
      </c>
      <c r="O187" s="9" t="n">
        <v>50</v>
      </c>
      <c r="P187" s="23" t="n">
        <v>58.5</v>
      </c>
      <c r="Q187" s="9" t="s">
        <v>119</v>
      </c>
    </row>
    <row r="188" customFormat="false" ht="39.75" hidden="false" customHeight="true" outlineLevel="0" collapsed="false">
      <c r="A188" s="10" t="s">
        <v>191</v>
      </c>
      <c r="B188" s="37" t="n">
        <v>25</v>
      </c>
      <c r="C188" s="9" t="s">
        <v>203</v>
      </c>
      <c r="D188" s="23" t="s">
        <v>28</v>
      </c>
      <c r="E188" s="23" t="s">
        <v>1208</v>
      </c>
      <c r="F188" s="37" t="n">
        <v>13</v>
      </c>
      <c r="G188" s="37" t="n">
        <v>2023</v>
      </c>
      <c r="H188" s="23" t="s">
        <v>204</v>
      </c>
      <c r="I188" s="23" t="s">
        <v>1209</v>
      </c>
      <c r="J188" s="23" t="s">
        <v>66</v>
      </c>
      <c r="K188" s="23" t="s">
        <v>1210</v>
      </c>
      <c r="L188" s="23" t="s">
        <v>537</v>
      </c>
      <c r="M188" s="23" t="s">
        <v>1211</v>
      </c>
      <c r="N188" s="23" t="s">
        <v>1180</v>
      </c>
      <c r="O188" s="9" t="n">
        <v>26.4</v>
      </c>
      <c r="P188" s="23" t="n">
        <v>30.888</v>
      </c>
      <c r="Q188" s="9" t="s">
        <v>44</v>
      </c>
    </row>
    <row r="189" customFormat="false" ht="39.75" hidden="false" customHeight="true" outlineLevel="0" collapsed="false">
      <c r="A189" s="10" t="s">
        <v>191</v>
      </c>
      <c r="B189" s="37" t="n">
        <v>25</v>
      </c>
      <c r="C189" s="9" t="s">
        <v>203</v>
      </c>
      <c r="D189" s="23" t="s">
        <v>28</v>
      </c>
      <c r="E189" s="23" t="s">
        <v>1142</v>
      </c>
      <c r="F189" s="37" t="n">
        <v>14</v>
      </c>
      <c r="G189" s="37" t="n">
        <v>2023</v>
      </c>
      <c r="H189" s="23" t="s">
        <v>204</v>
      </c>
      <c r="I189" s="23" t="s">
        <v>593</v>
      </c>
      <c r="J189" s="23" t="s">
        <v>66</v>
      </c>
      <c r="K189" s="23" t="s">
        <v>1178</v>
      </c>
      <c r="L189" s="23" t="s">
        <v>1192</v>
      </c>
      <c r="M189" s="23" t="s">
        <v>1212</v>
      </c>
      <c r="N189" s="23" t="s">
        <v>1180</v>
      </c>
      <c r="O189" s="9" t="s">
        <v>17</v>
      </c>
      <c r="P189" s="23" t="s">
        <v>17</v>
      </c>
      <c r="Q189" s="9" t="s">
        <v>119</v>
      </c>
    </row>
    <row r="190" customFormat="false" ht="39.75" hidden="false" customHeight="true" outlineLevel="0" collapsed="false">
      <c r="A190" s="10" t="s">
        <v>191</v>
      </c>
      <c r="B190" s="37" t="n">
        <v>25</v>
      </c>
      <c r="C190" s="9" t="s">
        <v>203</v>
      </c>
      <c r="D190" s="23" t="s">
        <v>28</v>
      </c>
      <c r="E190" s="23" t="s">
        <v>1213</v>
      </c>
      <c r="F190" s="37" t="n">
        <v>15</v>
      </c>
      <c r="G190" s="37" t="n">
        <v>2023</v>
      </c>
      <c r="H190" s="23" t="s">
        <v>192</v>
      </c>
      <c r="I190" s="23" t="s">
        <v>209</v>
      </c>
      <c r="J190" s="23" t="s">
        <v>66</v>
      </c>
      <c r="K190" s="23" t="s">
        <v>1178</v>
      </c>
      <c r="L190" s="23" t="s">
        <v>110</v>
      </c>
      <c r="M190" s="23" t="s">
        <v>1214</v>
      </c>
      <c r="N190" s="23" t="s">
        <v>1180</v>
      </c>
      <c r="O190" s="9" t="s">
        <v>17</v>
      </c>
      <c r="P190" s="23" t="s">
        <v>17</v>
      </c>
      <c r="Q190" s="9" t="s">
        <v>110</v>
      </c>
    </row>
    <row r="191" customFormat="false" ht="39.75" hidden="false" customHeight="true" outlineLevel="0" collapsed="false">
      <c r="A191" s="10" t="s">
        <v>191</v>
      </c>
      <c r="B191" s="37" t="n">
        <v>25</v>
      </c>
      <c r="C191" s="9" t="s">
        <v>203</v>
      </c>
      <c r="D191" s="23" t="s">
        <v>28</v>
      </c>
      <c r="E191" s="23" t="s">
        <v>1215</v>
      </c>
      <c r="F191" s="37" t="n">
        <v>16</v>
      </c>
      <c r="G191" s="37" t="n">
        <v>2023</v>
      </c>
      <c r="H191" s="23" t="s">
        <v>192</v>
      </c>
      <c r="I191" s="23" t="s">
        <v>583</v>
      </c>
      <c r="J191" s="23" t="s">
        <v>66</v>
      </c>
      <c r="K191" s="23" t="s">
        <v>1178</v>
      </c>
      <c r="L191" s="23" t="s">
        <v>1192</v>
      </c>
      <c r="M191" s="23" t="s">
        <v>1216</v>
      </c>
      <c r="N191" s="23" t="s">
        <v>1180</v>
      </c>
      <c r="O191" s="9" t="s">
        <v>17</v>
      </c>
      <c r="P191" s="23" t="s">
        <v>17</v>
      </c>
      <c r="Q191" s="9" t="s">
        <v>119</v>
      </c>
    </row>
    <row r="192" customFormat="false" ht="39.75" hidden="false" customHeight="true" outlineLevel="0" collapsed="false">
      <c r="A192" s="10" t="s">
        <v>191</v>
      </c>
      <c r="B192" s="37" t="n">
        <v>25</v>
      </c>
      <c r="C192" s="9" t="s">
        <v>203</v>
      </c>
      <c r="D192" s="23" t="s">
        <v>28</v>
      </c>
      <c r="E192" s="23" t="s">
        <v>1217</v>
      </c>
      <c r="F192" s="37" t="n">
        <v>17</v>
      </c>
      <c r="G192" s="37" t="n">
        <v>2023</v>
      </c>
      <c r="H192" s="23" t="s">
        <v>192</v>
      </c>
      <c r="I192" s="23" t="s">
        <v>1101</v>
      </c>
      <c r="J192" s="23" t="s">
        <v>66</v>
      </c>
      <c r="K192" s="23" t="s">
        <v>1178</v>
      </c>
      <c r="L192" s="23" t="s">
        <v>119</v>
      </c>
      <c r="M192" s="23" t="s">
        <v>1218</v>
      </c>
      <c r="N192" s="23" t="s">
        <v>1180</v>
      </c>
      <c r="O192" s="9" t="s">
        <v>17</v>
      </c>
      <c r="P192" s="23" t="s">
        <v>17</v>
      </c>
      <c r="Q192" s="9" t="s">
        <v>119</v>
      </c>
    </row>
    <row r="193" customFormat="false" ht="39.75" hidden="false" customHeight="true" outlineLevel="0" collapsed="false">
      <c r="A193" s="10" t="s">
        <v>191</v>
      </c>
      <c r="B193" s="37" t="n">
        <v>25</v>
      </c>
      <c r="C193" s="9" t="s">
        <v>203</v>
      </c>
      <c r="D193" s="23" t="s">
        <v>28</v>
      </c>
      <c r="E193" s="23" t="s">
        <v>1219</v>
      </c>
      <c r="F193" s="37" t="n">
        <v>18</v>
      </c>
      <c r="G193" s="37" t="n">
        <v>2023</v>
      </c>
      <c r="H193" s="23" t="s">
        <v>192</v>
      </c>
      <c r="I193" s="23" t="s">
        <v>1101</v>
      </c>
      <c r="J193" s="23" t="s">
        <v>66</v>
      </c>
      <c r="K193" s="23" t="s">
        <v>1178</v>
      </c>
      <c r="L193" s="23" t="s">
        <v>1220</v>
      </c>
      <c r="M193" s="23" t="s">
        <v>1221</v>
      </c>
      <c r="N193" s="23" t="s">
        <v>1180</v>
      </c>
      <c r="O193" s="9" t="s">
        <v>17</v>
      </c>
      <c r="P193" s="23" t="s">
        <v>17</v>
      </c>
      <c r="Q193" s="9"/>
    </row>
    <row r="194" customFormat="false" ht="39.75" hidden="false" customHeight="true" outlineLevel="0" collapsed="false">
      <c r="A194" s="10" t="s">
        <v>191</v>
      </c>
      <c r="B194" s="37" t="n">
        <v>25</v>
      </c>
      <c r="C194" s="9" t="s">
        <v>203</v>
      </c>
      <c r="D194" s="23" t="s">
        <v>28</v>
      </c>
      <c r="E194" s="23" t="s">
        <v>1222</v>
      </c>
      <c r="F194" s="37" t="n">
        <v>19</v>
      </c>
      <c r="G194" s="37" t="n">
        <v>2023</v>
      </c>
      <c r="H194" s="23" t="s">
        <v>1184</v>
      </c>
      <c r="I194" s="23" t="s">
        <v>1223</v>
      </c>
      <c r="J194" s="23" t="s">
        <v>66</v>
      </c>
      <c r="K194" s="23" t="s">
        <v>1224</v>
      </c>
      <c r="L194" s="23" t="s">
        <v>25</v>
      </c>
      <c r="M194" s="23" t="s">
        <v>1225</v>
      </c>
      <c r="N194" s="23" t="s">
        <v>1180</v>
      </c>
      <c r="O194" s="9" t="s">
        <v>17</v>
      </c>
      <c r="P194" s="23" t="s">
        <v>17</v>
      </c>
      <c r="Q194" s="9" t="s">
        <v>25</v>
      </c>
    </row>
    <row r="195" customFormat="false" ht="39.75" hidden="false" customHeight="true" outlineLevel="0" collapsed="false">
      <c r="A195" s="10" t="s">
        <v>191</v>
      </c>
      <c r="B195" s="37" t="n">
        <v>25</v>
      </c>
      <c r="C195" s="9" t="s">
        <v>203</v>
      </c>
      <c r="D195" s="23" t="s">
        <v>28</v>
      </c>
      <c r="E195" s="23" t="s">
        <v>1226</v>
      </c>
      <c r="F195" s="37" t="n">
        <v>20</v>
      </c>
      <c r="G195" s="37" t="n">
        <v>2023</v>
      </c>
      <c r="H195" s="23" t="s">
        <v>204</v>
      </c>
      <c r="I195" s="23" t="s">
        <v>1227</v>
      </c>
      <c r="J195" s="23" t="s">
        <v>66</v>
      </c>
      <c r="K195" s="23" t="s">
        <v>1178</v>
      </c>
      <c r="L195" s="23" t="s">
        <v>119</v>
      </c>
      <c r="M195" s="23" t="s">
        <v>1228</v>
      </c>
      <c r="N195" s="23" t="s">
        <v>1180</v>
      </c>
      <c r="O195" s="9" t="s">
        <v>17</v>
      </c>
      <c r="P195" s="23" t="s">
        <v>17</v>
      </c>
      <c r="Q195" s="9" t="s">
        <v>119</v>
      </c>
    </row>
    <row r="196" customFormat="false" ht="39.75" hidden="false" customHeight="true" outlineLevel="0" collapsed="false">
      <c r="A196" s="10" t="s">
        <v>191</v>
      </c>
      <c r="B196" s="37" t="n">
        <v>25</v>
      </c>
      <c r="C196" s="9" t="s">
        <v>203</v>
      </c>
      <c r="D196" s="23" t="s">
        <v>28</v>
      </c>
      <c r="E196" s="23" t="s">
        <v>1229</v>
      </c>
      <c r="F196" s="37" t="n">
        <v>21</v>
      </c>
      <c r="G196" s="37" t="n">
        <v>2023</v>
      </c>
      <c r="H196" s="23" t="s">
        <v>192</v>
      </c>
      <c r="I196" s="23" t="s">
        <v>1230</v>
      </c>
      <c r="J196" s="23" t="s">
        <v>66</v>
      </c>
      <c r="K196" s="23" t="s">
        <v>1178</v>
      </c>
      <c r="L196" s="23" t="s">
        <v>537</v>
      </c>
      <c r="M196" s="23" t="s">
        <v>1231</v>
      </c>
      <c r="N196" s="23" t="s">
        <v>1180</v>
      </c>
      <c r="O196" s="9" t="s">
        <v>17</v>
      </c>
      <c r="P196" s="23" t="s">
        <v>17</v>
      </c>
      <c r="Q196" s="9" t="s">
        <v>44</v>
      </c>
    </row>
    <row r="197" customFormat="false" ht="39.75" hidden="false" customHeight="true" outlineLevel="0" collapsed="false">
      <c r="A197" s="10" t="s">
        <v>191</v>
      </c>
      <c r="B197" s="37" t="n">
        <v>25</v>
      </c>
      <c r="C197" s="9" t="s">
        <v>203</v>
      </c>
      <c r="D197" s="23" t="s">
        <v>28</v>
      </c>
      <c r="E197" s="23" t="s">
        <v>1232</v>
      </c>
      <c r="F197" s="37" t="n">
        <v>22</v>
      </c>
      <c r="G197" s="37" t="n">
        <v>2023</v>
      </c>
      <c r="H197" s="23" t="s">
        <v>192</v>
      </c>
      <c r="I197" s="23" t="s">
        <v>1233</v>
      </c>
      <c r="J197" s="23" t="s">
        <v>66</v>
      </c>
      <c r="K197" s="23" t="s">
        <v>1178</v>
      </c>
      <c r="L197" s="23" t="s">
        <v>44</v>
      </c>
      <c r="M197" s="23" t="s">
        <v>1234</v>
      </c>
      <c r="N197" s="23" t="s">
        <v>1180</v>
      </c>
      <c r="O197" s="9" t="s">
        <v>17</v>
      </c>
      <c r="P197" s="23" t="s">
        <v>17</v>
      </c>
      <c r="Q197" s="9" t="s">
        <v>44</v>
      </c>
    </row>
    <row r="198" customFormat="false" ht="39.75" hidden="false" customHeight="true" outlineLevel="0" collapsed="false">
      <c r="A198" s="10" t="s">
        <v>191</v>
      </c>
      <c r="B198" s="37" t="n">
        <v>25</v>
      </c>
      <c r="C198" s="9" t="s">
        <v>203</v>
      </c>
      <c r="D198" s="23" t="s">
        <v>28</v>
      </c>
      <c r="E198" s="23" t="s">
        <v>1235</v>
      </c>
      <c r="F198" s="37" t="n">
        <v>23</v>
      </c>
      <c r="G198" s="37" t="n">
        <v>2023</v>
      </c>
      <c r="H198" s="23" t="s">
        <v>204</v>
      </c>
      <c r="I198" s="23" t="s">
        <v>1236</v>
      </c>
      <c r="J198" s="23" t="s">
        <v>66</v>
      </c>
      <c r="K198" s="23" t="s">
        <v>1178</v>
      </c>
      <c r="L198" s="23" t="s">
        <v>38</v>
      </c>
      <c r="M198" s="23" t="s">
        <v>1237</v>
      </c>
      <c r="N198" s="23" t="s">
        <v>1180</v>
      </c>
      <c r="O198" s="9" t="s">
        <v>17</v>
      </c>
      <c r="P198" s="23" t="s">
        <v>17</v>
      </c>
      <c r="Q198" s="9" t="s">
        <v>38</v>
      </c>
    </row>
    <row r="199" customFormat="false" ht="39.75" hidden="false" customHeight="true" outlineLevel="0" collapsed="false">
      <c r="A199" s="10" t="s">
        <v>208</v>
      </c>
      <c r="B199" s="37" t="n">
        <v>28</v>
      </c>
      <c r="C199" s="23" t="s">
        <v>17</v>
      </c>
      <c r="D199" s="23" t="s">
        <v>17</v>
      </c>
      <c r="E199" s="23" t="s">
        <v>1238</v>
      </c>
      <c r="F199" s="37" t="n">
        <v>1</v>
      </c>
      <c r="G199" s="37" t="n">
        <v>2023</v>
      </c>
      <c r="H199" s="23" t="s">
        <v>109</v>
      </c>
      <c r="I199" s="23" t="s">
        <v>209</v>
      </c>
      <c r="J199" s="23" t="s">
        <v>66</v>
      </c>
      <c r="K199" s="23" t="s">
        <v>487</v>
      </c>
      <c r="L199" s="23" t="s">
        <v>1239</v>
      </c>
      <c r="M199" s="23" t="s">
        <v>1240</v>
      </c>
      <c r="N199" s="23" t="s">
        <v>1241</v>
      </c>
      <c r="O199" s="9" t="s">
        <v>17</v>
      </c>
      <c r="P199" s="23" t="s">
        <v>17</v>
      </c>
      <c r="Q199" s="9" t="s">
        <v>25</v>
      </c>
    </row>
    <row r="200" customFormat="false" ht="39.75" hidden="false" customHeight="true" outlineLevel="0" collapsed="false">
      <c r="A200" s="10" t="s">
        <v>208</v>
      </c>
      <c r="B200" s="37" t="n">
        <v>28</v>
      </c>
      <c r="C200" s="23" t="s">
        <v>17</v>
      </c>
      <c r="D200" s="23" t="s">
        <v>17</v>
      </c>
      <c r="E200" s="23" t="s">
        <v>1242</v>
      </c>
      <c r="F200" s="37" t="n">
        <v>2</v>
      </c>
      <c r="G200" s="37" t="n">
        <v>2023</v>
      </c>
      <c r="H200" s="23" t="s">
        <v>109</v>
      </c>
      <c r="I200" s="23" t="s">
        <v>209</v>
      </c>
      <c r="J200" s="23" t="s">
        <v>66</v>
      </c>
      <c r="K200" s="23" t="s">
        <v>1243</v>
      </c>
      <c r="L200" s="23" t="s">
        <v>25</v>
      </c>
      <c r="M200" s="23" t="s">
        <v>1244</v>
      </c>
      <c r="N200" s="23" t="s">
        <v>1245</v>
      </c>
      <c r="O200" s="9" t="n">
        <v>2900</v>
      </c>
      <c r="P200" s="23" t="n">
        <v>3393</v>
      </c>
      <c r="Q200" s="9" t="s">
        <v>25</v>
      </c>
    </row>
    <row r="201" customFormat="false" ht="39.75" hidden="false" customHeight="true" outlineLevel="0" collapsed="false">
      <c r="A201" s="10" t="s">
        <v>208</v>
      </c>
      <c r="B201" s="37" t="n">
        <v>28</v>
      </c>
      <c r="C201" s="23" t="s">
        <v>17</v>
      </c>
      <c r="D201" s="23" t="s">
        <v>17</v>
      </c>
      <c r="E201" s="23" t="s">
        <v>1246</v>
      </c>
      <c r="F201" s="37" t="n">
        <v>3</v>
      </c>
      <c r="G201" s="37" t="n">
        <v>2023</v>
      </c>
      <c r="H201" s="23" t="s">
        <v>109</v>
      </c>
      <c r="I201" s="23" t="s">
        <v>209</v>
      </c>
      <c r="J201" s="23" t="s">
        <v>66</v>
      </c>
      <c r="K201" s="23" t="s">
        <v>1247</v>
      </c>
      <c r="L201" s="23" t="s">
        <v>110</v>
      </c>
      <c r="M201" s="23" t="s">
        <v>1248</v>
      </c>
      <c r="N201" s="23" t="s">
        <v>1249</v>
      </c>
      <c r="O201" s="9" t="n">
        <v>120</v>
      </c>
      <c r="P201" s="23" t="n">
        <v>140.4</v>
      </c>
      <c r="Q201" s="9" t="s">
        <v>110</v>
      </c>
    </row>
    <row r="202" customFormat="false" ht="39.75" hidden="false" customHeight="true" outlineLevel="0" collapsed="false">
      <c r="A202" s="10" t="s">
        <v>208</v>
      </c>
      <c r="B202" s="37" t="n">
        <v>28</v>
      </c>
      <c r="C202" s="23" t="s">
        <v>17</v>
      </c>
      <c r="D202" s="23" t="s">
        <v>17</v>
      </c>
      <c r="E202" s="23" t="s">
        <v>1250</v>
      </c>
      <c r="F202" s="37" t="n">
        <v>4</v>
      </c>
      <c r="G202" s="37" t="n">
        <v>2022</v>
      </c>
      <c r="H202" s="23" t="s">
        <v>53</v>
      </c>
      <c r="I202" s="23" t="s">
        <v>209</v>
      </c>
      <c r="J202" s="23" t="s">
        <v>535</v>
      </c>
      <c r="K202" s="23" t="s">
        <v>1251</v>
      </c>
      <c r="L202" s="23" t="s">
        <v>119</v>
      </c>
      <c r="M202" s="23" t="s">
        <v>1252</v>
      </c>
      <c r="N202" s="23" t="s">
        <v>1253</v>
      </c>
      <c r="O202" s="9" t="n">
        <v>39</v>
      </c>
      <c r="P202" s="23" t="n">
        <v>45.63</v>
      </c>
      <c r="Q202" s="9" t="s">
        <v>119</v>
      </c>
    </row>
    <row r="203" customFormat="false" ht="39.75" hidden="false" customHeight="true" outlineLevel="0" collapsed="false">
      <c r="A203" s="10" t="s">
        <v>208</v>
      </c>
      <c r="B203" s="37" t="n">
        <v>28</v>
      </c>
      <c r="C203" s="23" t="s">
        <v>17</v>
      </c>
      <c r="D203" s="23" t="s">
        <v>17</v>
      </c>
      <c r="E203" s="23" t="s">
        <v>1254</v>
      </c>
      <c r="F203" s="37" t="n">
        <v>5</v>
      </c>
      <c r="G203" s="37" t="n">
        <v>2022</v>
      </c>
      <c r="H203" s="23" t="s">
        <v>53</v>
      </c>
      <c r="I203" s="23" t="s">
        <v>209</v>
      </c>
      <c r="J203" s="23" t="s">
        <v>535</v>
      </c>
      <c r="K203" s="23" t="s">
        <v>1255</v>
      </c>
      <c r="L203" s="23" t="s">
        <v>119</v>
      </c>
      <c r="M203" s="23" t="s">
        <v>1256</v>
      </c>
      <c r="N203" s="23" t="s">
        <v>1253</v>
      </c>
      <c r="O203" s="9" t="n">
        <v>47</v>
      </c>
      <c r="P203" s="23" t="n">
        <v>54.99</v>
      </c>
      <c r="Q203" s="9" t="s">
        <v>119</v>
      </c>
    </row>
    <row r="204" customFormat="false" ht="39.75" hidden="false" customHeight="true" outlineLevel="0" collapsed="false">
      <c r="A204" s="10" t="s">
        <v>208</v>
      </c>
      <c r="B204" s="37" t="n">
        <v>28</v>
      </c>
      <c r="C204" s="23" t="s">
        <v>17</v>
      </c>
      <c r="D204" s="23" t="s">
        <v>17</v>
      </c>
      <c r="E204" s="23" t="s">
        <v>1257</v>
      </c>
      <c r="F204" s="37" t="n">
        <v>6</v>
      </c>
      <c r="G204" s="37" t="n">
        <v>2022</v>
      </c>
      <c r="H204" s="23" t="s">
        <v>53</v>
      </c>
      <c r="I204" s="23" t="s">
        <v>209</v>
      </c>
      <c r="J204" s="23" t="s">
        <v>535</v>
      </c>
      <c r="K204" s="23" t="s">
        <v>1258</v>
      </c>
      <c r="L204" s="23" t="s">
        <v>316</v>
      </c>
      <c r="M204" s="23" t="s">
        <v>1259</v>
      </c>
      <c r="N204" s="23" t="s">
        <v>1260</v>
      </c>
      <c r="O204" s="9" t="n">
        <v>50</v>
      </c>
      <c r="P204" s="23" t="n">
        <v>58.5</v>
      </c>
      <c r="Q204" s="9" t="s">
        <v>316</v>
      </c>
    </row>
    <row r="205" customFormat="false" ht="39.75" hidden="false" customHeight="true" outlineLevel="0" collapsed="false">
      <c r="A205" s="10" t="s">
        <v>224</v>
      </c>
      <c r="B205" s="10" t="n">
        <v>31</v>
      </c>
      <c r="C205" s="23" t="s">
        <v>17</v>
      </c>
      <c r="D205" s="23" t="s">
        <v>17</v>
      </c>
      <c r="E205" s="23" t="s">
        <v>1261</v>
      </c>
      <c r="F205" s="37" t="n">
        <v>1</v>
      </c>
      <c r="G205" s="37" t="n">
        <v>2014</v>
      </c>
      <c r="H205" s="23" t="s">
        <v>1262</v>
      </c>
      <c r="I205" s="23" t="s">
        <v>209</v>
      </c>
      <c r="J205" s="23" t="s">
        <v>66</v>
      </c>
      <c r="K205" s="23" t="s">
        <v>1263</v>
      </c>
      <c r="L205" s="23" t="s">
        <v>119</v>
      </c>
      <c r="M205" s="23" t="s">
        <v>1264</v>
      </c>
      <c r="N205" s="23" t="s">
        <v>1265</v>
      </c>
      <c r="O205" s="9" t="n">
        <v>360.1</v>
      </c>
      <c r="P205" s="23" t="n">
        <v>421.317</v>
      </c>
      <c r="Q205" s="9" t="s">
        <v>119</v>
      </c>
    </row>
    <row r="206" customFormat="false" ht="39.75" hidden="false" customHeight="true" outlineLevel="0" collapsed="false">
      <c r="A206" s="10" t="s">
        <v>218</v>
      </c>
      <c r="B206" s="10" t="n">
        <v>30</v>
      </c>
      <c r="C206" s="23" t="s">
        <v>17</v>
      </c>
      <c r="D206" s="23" t="s">
        <v>17</v>
      </c>
      <c r="E206" s="23" t="s">
        <v>1266</v>
      </c>
      <c r="F206" s="37" t="n">
        <v>1</v>
      </c>
      <c r="G206" s="37" t="n">
        <v>2018</v>
      </c>
      <c r="H206" s="23" t="s">
        <v>219</v>
      </c>
      <c r="I206" s="23" t="s">
        <v>209</v>
      </c>
      <c r="J206" s="23" t="s">
        <v>66</v>
      </c>
      <c r="K206" s="23" t="s">
        <v>1267</v>
      </c>
      <c r="L206" s="23" t="s">
        <v>119</v>
      </c>
      <c r="M206" s="23" t="s">
        <v>1268</v>
      </c>
      <c r="N206" s="23" t="s">
        <v>1269</v>
      </c>
      <c r="O206" s="9" t="n">
        <v>35</v>
      </c>
      <c r="P206" s="23" t="n">
        <v>40.95</v>
      </c>
      <c r="Q206" s="9" t="s">
        <v>119</v>
      </c>
    </row>
    <row r="207" customFormat="false" ht="39.75" hidden="false" customHeight="true" outlineLevel="0" collapsed="false">
      <c r="A207" s="10" t="s">
        <v>218</v>
      </c>
      <c r="B207" s="10" t="n">
        <v>30</v>
      </c>
      <c r="C207" s="23" t="s">
        <v>17</v>
      </c>
      <c r="D207" s="23" t="s">
        <v>17</v>
      </c>
      <c r="E207" s="23" t="s">
        <v>1270</v>
      </c>
      <c r="F207" s="37" t="n">
        <v>3</v>
      </c>
      <c r="G207" s="37" t="n">
        <v>2019</v>
      </c>
      <c r="H207" s="23" t="s">
        <v>1271</v>
      </c>
      <c r="I207" s="23" t="s">
        <v>209</v>
      </c>
      <c r="J207" s="23" t="s">
        <v>66</v>
      </c>
      <c r="K207" s="23" t="s">
        <v>1267</v>
      </c>
      <c r="L207" s="23" t="s">
        <v>25</v>
      </c>
      <c r="M207" s="23" t="s">
        <v>1272</v>
      </c>
      <c r="N207" s="23" t="s">
        <v>1273</v>
      </c>
      <c r="O207" s="9" t="n">
        <v>35</v>
      </c>
      <c r="P207" s="23" t="n">
        <v>40.95</v>
      </c>
      <c r="Q207" s="9" t="s">
        <v>25</v>
      </c>
    </row>
    <row r="208" customFormat="false" ht="39.75" hidden="false" customHeight="true" outlineLevel="0" collapsed="false">
      <c r="A208" s="10" t="s">
        <v>218</v>
      </c>
      <c r="B208" s="10" t="n">
        <v>30</v>
      </c>
      <c r="C208" s="23" t="s">
        <v>17</v>
      </c>
      <c r="D208" s="23" t="s">
        <v>17</v>
      </c>
      <c r="E208" s="23" t="s">
        <v>1274</v>
      </c>
      <c r="F208" s="37" t="n">
        <v>4</v>
      </c>
      <c r="G208" s="37" t="n">
        <v>2019</v>
      </c>
      <c r="H208" s="23" t="s">
        <v>1271</v>
      </c>
      <c r="I208" s="23" t="s">
        <v>209</v>
      </c>
      <c r="J208" s="23" t="s">
        <v>66</v>
      </c>
      <c r="K208" s="23" t="s">
        <v>1275</v>
      </c>
      <c r="L208" s="23" t="s">
        <v>1276</v>
      </c>
      <c r="M208" s="23" t="s">
        <v>1277</v>
      </c>
      <c r="N208" s="23" t="s">
        <v>1278</v>
      </c>
      <c r="O208" s="9" t="n">
        <v>25</v>
      </c>
      <c r="P208" s="23" t="n">
        <v>29.25</v>
      </c>
      <c r="Q208" s="9" t="s">
        <v>119</v>
      </c>
    </row>
    <row r="209" customFormat="false" ht="39.75" hidden="false" customHeight="true" outlineLevel="0" collapsed="false">
      <c r="A209" s="10" t="s">
        <v>218</v>
      </c>
      <c r="B209" s="10" t="n">
        <v>30</v>
      </c>
      <c r="C209" s="23" t="s">
        <v>17</v>
      </c>
      <c r="D209" s="23" t="s">
        <v>17</v>
      </c>
      <c r="E209" s="23" t="s">
        <v>1279</v>
      </c>
      <c r="F209" s="37" t="n">
        <v>5</v>
      </c>
      <c r="G209" s="37" t="n">
        <v>2019</v>
      </c>
      <c r="H209" s="23" t="s">
        <v>1271</v>
      </c>
      <c r="I209" s="23" t="s">
        <v>209</v>
      </c>
      <c r="J209" s="23" t="s">
        <v>66</v>
      </c>
      <c r="K209" s="23" t="s">
        <v>1280</v>
      </c>
      <c r="L209" s="23" t="s">
        <v>1138</v>
      </c>
      <c r="M209" s="23" t="s">
        <v>1281</v>
      </c>
      <c r="N209" s="23" t="s">
        <v>1282</v>
      </c>
      <c r="O209" s="9" t="n">
        <v>40</v>
      </c>
      <c r="P209" s="23" t="n">
        <v>46.8</v>
      </c>
      <c r="Q209" s="9" t="s">
        <v>119</v>
      </c>
    </row>
    <row r="210" customFormat="false" ht="39.75" hidden="false" customHeight="true" outlineLevel="0" collapsed="false">
      <c r="A210" s="10" t="s">
        <v>218</v>
      </c>
      <c r="B210" s="10" t="n">
        <v>30</v>
      </c>
      <c r="C210" s="23" t="s">
        <v>17</v>
      </c>
      <c r="D210" s="23" t="s">
        <v>17</v>
      </c>
      <c r="E210" s="23" t="s">
        <v>1283</v>
      </c>
      <c r="F210" s="37" t="n">
        <v>6</v>
      </c>
      <c r="G210" s="37" t="n">
        <v>2019</v>
      </c>
      <c r="H210" s="23" t="s">
        <v>1271</v>
      </c>
      <c r="I210" s="23" t="s">
        <v>209</v>
      </c>
      <c r="J210" s="23" t="s">
        <v>66</v>
      </c>
      <c r="K210" s="23" t="s">
        <v>1284</v>
      </c>
      <c r="L210" s="23" t="s">
        <v>119</v>
      </c>
      <c r="M210" s="23" t="s">
        <v>1285</v>
      </c>
      <c r="N210" s="23" t="s">
        <v>1286</v>
      </c>
      <c r="O210" s="9" t="n">
        <v>120</v>
      </c>
      <c r="P210" s="23" t="n">
        <v>140.4</v>
      </c>
      <c r="Q210" s="9" t="s">
        <v>119</v>
      </c>
    </row>
    <row r="211" customFormat="false" ht="39.75" hidden="false" customHeight="true" outlineLevel="0" collapsed="false">
      <c r="A211" s="10" t="s">
        <v>229</v>
      </c>
      <c r="B211" s="23" t="n">
        <v>32</v>
      </c>
      <c r="C211" s="23" t="s">
        <v>17</v>
      </c>
      <c r="D211" s="37" t="s">
        <v>17</v>
      </c>
      <c r="E211" s="23" t="s">
        <v>1287</v>
      </c>
      <c r="F211" s="37" t="n">
        <v>1</v>
      </c>
      <c r="G211" s="37" t="n">
        <v>2024</v>
      </c>
      <c r="H211" s="23" t="s">
        <v>121</v>
      </c>
      <c r="I211" s="23" t="s">
        <v>231</v>
      </c>
      <c r="J211" s="23" t="s">
        <v>535</v>
      </c>
      <c r="K211" s="23" t="s">
        <v>1288</v>
      </c>
      <c r="L211" s="23" t="s">
        <v>468</v>
      </c>
      <c r="M211" s="23" t="s">
        <v>1289</v>
      </c>
      <c r="N211" s="23" t="s">
        <v>1290</v>
      </c>
      <c r="O211" s="9" t="n">
        <v>0.68</v>
      </c>
      <c r="P211" s="23" t="n">
        <v>0.7956</v>
      </c>
      <c r="Q211" s="9" t="s">
        <v>25</v>
      </c>
    </row>
    <row r="212" customFormat="false" ht="39.75" hidden="false" customHeight="true" outlineLevel="0" collapsed="false">
      <c r="A212" s="10" t="s">
        <v>229</v>
      </c>
      <c r="B212" s="23" t="n">
        <v>32</v>
      </c>
      <c r="C212" s="23" t="s">
        <v>17</v>
      </c>
      <c r="D212" s="37" t="s">
        <v>17</v>
      </c>
      <c r="E212" s="23" t="s">
        <v>1291</v>
      </c>
      <c r="F212" s="37" t="n">
        <v>2</v>
      </c>
      <c r="G212" s="37" t="n">
        <v>2024</v>
      </c>
      <c r="H212" s="23" t="s">
        <v>121</v>
      </c>
      <c r="I212" s="23" t="s">
        <v>231</v>
      </c>
      <c r="J212" s="23" t="s">
        <v>535</v>
      </c>
      <c r="K212" s="23" t="s">
        <v>1292</v>
      </c>
      <c r="L212" s="23" t="s">
        <v>38</v>
      </c>
      <c r="M212" s="23" t="s">
        <v>1293</v>
      </c>
      <c r="N212" s="23" t="s">
        <v>1290</v>
      </c>
      <c r="O212" s="9" t="n">
        <v>1.2</v>
      </c>
      <c r="P212" s="23" t="n">
        <v>1.404</v>
      </c>
      <c r="Q212" s="9" t="s">
        <v>38</v>
      </c>
    </row>
    <row r="213" customFormat="false" ht="39.75" hidden="false" customHeight="true" outlineLevel="0" collapsed="false">
      <c r="A213" s="10" t="s">
        <v>229</v>
      </c>
      <c r="B213" s="23" t="n">
        <v>32</v>
      </c>
      <c r="C213" s="23" t="s">
        <v>17</v>
      </c>
      <c r="D213" s="37" t="s">
        <v>17</v>
      </c>
      <c r="E213" s="23" t="s">
        <v>1294</v>
      </c>
      <c r="F213" s="37" t="n">
        <v>3</v>
      </c>
      <c r="G213" s="37" t="n">
        <v>2024</v>
      </c>
      <c r="H213" s="23" t="s">
        <v>121</v>
      </c>
      <c r="I213" s="23" t="s">
        <v>231</v>
      </c>
      <c r="J213" s="23" t="s">
        <v>535</v>
      </c>
      <c r="K213" s="23" t="s">
        <v>1295</v>
      </c>
      <c r="L213" s="23" t="s">
        <v>286</v>
      </c>
      <c r="M213" s="23" t="s">
        <v>1296</v>
      </c>
      <c r="N213" s="23" t="s">
        <v>1290</v>
      </c>
      <c r="O213" s="9" t="n">
        <v>0.56</v>
      </c>
      <c r="P213" s="23" t="n">
        <v>0.6552</v>
      </c>
      <c r="Q213" s="9" t="s">
        <v>286</v>
      </c>
    </row>
    <row r="214" customFormat="false" ht="39.75" hidden="false" customHeight="true" outlineLevel="0" collapsed="false">
      <c r="A214" s="10" t="s">
        <v>229</v>
      </c>
      <c r="B214" s="23" t="n">
        <v>32</v>
      </c>
      <c r="C214" s="23" t="s">
        <v>17</v>
      </c>
      <c r="D214" s="37" t="s">
        <v>17</v>
      </c>
      <c r="E214" s="23" t="s">
        <v>1297</v>
      </c>
      <c r="F214" s="37" t="n">
        <v>4</v>
      </c>
      <c r="G214" s="37" t="n">
        <v>2024</v>
      </c>
      <c r="H214" s="23" t="s">
        <v>121</v>
      </c>
      <c r="I214" s="23" t="s">
        <v>231</v>
      </c>
      <c r="J214" s="23" t="s">
        <v>535</v>
      </c>
      <c r="K214" s="23" t="s">
        <v>1298</v>
      </c>
      <c r="L214" s="23" t="s">
        <v>1299</v>
      </c>
      <c r="M214" s="23" t="s">
        <v>1300</v>
      </c>
      <c r="N214" s="23" t="s">
        <v>1290</v>
      </c>
      <c r="O214" s="9" t="n">
        <v>0.41</v>
      </c>
      <c r="P214" s="23" t="n">
        <v>0.4797</v>
      </c>
      <c r="Q214" s="9" t="s">
        <v>25</v>
      </c>
    </row>
    <row r="215" customFormat="false" ht="39.75" hidden="false" customHeight="true" outlineLevel="0" collapsed="false">
      <c r="A215" s="10" t="s">
        <v>229</v>
      </c>
      <c r="B215" s="23" t="n">
        <v>32</v>
      </c>
      <c r="C215" s="23" t="s">
        <v>17</v>
      </c>
      <c r="D215" s="37" t="s">
        <v>17</v>
      </c>
      <c r="E215" s="23" t="s">
        <v>1301</v>
      </c>
      <c r="F215" s="37" t="n">
        <v>5</v>
      </c>
      <c r="G215" s="37" t="n">
        <v>2024</v>
      </c>
      <c r="H215" s="23" t="s">
        <v>652</v>
      </c>
      <c r="I215" s="23" t="s">
        <v>231</v>
      </c>
      <c r="J215" s="23" t="s">
        <v>535</v>
      </c>
      <c r="K215" s="23" t="s">
        <v>1302</v>
      </c>
      <c r="L215" s="23" t="s">
        <v>1303</v>
      </c>
      <c r="M215" s="23" t="s">
        <v>1304</v>
      </c>
      <c r="N215" s="23" t="s">
        <v>1290</v>
      </c>
      <c r="O215" s="9" t="n">
        <v>1</v>
      </c>
      <c r="P215" s="23" t="n">
        <v>1.17</v>
      </c>
      <c r="Q215" s="9" t="s">
        <v>38</v>
      </c>
    </row>
    <row r="216" customFormat="false" ht="39.75" hidden="false" customHeight="true" outlineLevel="0" collapsed="false">
      <c r="A216" s="10" t="s">
        <v>229</v>
      </c>
      <c r="B216" s="23" t="n">
        <v>32</v>
      </c>
      <c r="C216" s="23" t="s">
        <v>17</v>
      </c>
      <c r="D216" s="37" t="s">
        <v>17</v>
      </c>
      <c r="E216" s="23" t="s">
        <v>1305</v>
      </c>
      <c r="F216" s="37" t="n">
        <v>6</v>
      </c>
      <c r="G216" s="37" t="n">
        <v>2024</v>
      </c>
      <c r="H216" s="23" t="s">
        <v>121</v>
      </c>
      <c r="I216" s="23" t="s">
        <v>231</v>
      </c>
      <c r="J216" s="23" t="s">
        <v>535</v>
      </c>
      <c r="K216" s="23" t="s">
        <v>1306</v>
      </c>
      <c r="L216" s="23" t="s">
        <v>1299</v>
      </c>
      <c r="M216" s="23" t="s">
        <v>1307</v>
      </c>
      <c r="N216" s="23" t="s">
        <v>1290</v>
      </c>
      <c r="O216" s="9" t="n">
        <v>0.83</v>
      </c>
      <c r="P216" s="23" t="n">
        <v>0.9711</v>
      </c>
      <c r="Q216" s="9" t="s">
        <v>25</v>
      </c>
    </row>
    <row r="217" customFormat="false" ht="39.75" hidden="false" customHeight="true" outlineLevel="0" collapsed="false">
      <c r="A217" s="10" t="s">
        <v>229</v>
      </c>
      <c r="B217" s="23" t="n">
        <v>32</v>
      </c>
      <c r="C217" s="23" t="s">
        <v>17</v>
      </c>
      <c r="D217" s="37" t="s">
        <v>17</v>
      </c>
      <c r="E217" s="23" t="s">
        <v>1308</v>
      </c>
      <c r="F217" s="37" t="n">
        <v>7</v>
      </c>
      <c r="G217" s="37" t="n">
        <v>2024</v>
      </c>
      <c r="H217" s="23" t="s">
        <v>121</v>
      </c>
      <c r="I217" s="23" t="s">
        <v>231</v>
      </c>
      <c r="J217" s="23" t="s">
        <v>535</v>
      </c>
      <c r="K217" s="23" t="s">
        <v>1309</v>
      </c>
      <c r="L217" s="23" t="s">
        <v>1310</v>
      </c>
      <c r="M217" s="23" t="s">
        <v>1311</v>
      </c>
      <c r="N217" s="23" t="s">
        <v>1290</v>
      </c>
      <c r="O217" s="9" t="n">
        <v>0.256</v>
      </c>
      <c r="P217" s="23" t="n">
        <v>0.29952</v>
      </c>
      <c r="Q217" s="9"/>
    </row>
    <row r="218" customFormat="false" ht="39.75" hidden="false" customHeight="true" outlineLevel="0" collapsed="false">
      <c r="A218" s="10" t="s">
        <v>229</v>
      </c>
      <c r="B218" s="23" t="n">
        <v>32</v>
      </c>
      <c r="C218" s="23" t="s">
        <v>17</v>
      </c>
      <c r="D218" s="37" t="s">
        <v>17</v>
      </c>
      <c r="E218" s="23" t="s">
        <v>1312</v>
      </c>
      <c r="F218" s="37" t="n">
        <v>8</v>
      </c>
      <c r="G218" s="37" t="n">
        <v>2024</v>
      </c>
      <c r="H218" s="23" t="s">
        <v>121</v>
      </c>
      <c r="I218" s="23" t="s">
        <v>231</v>
      </c>
      <c r="J218" s="23" t="s">
        <v>535</v>
      </c>
      <c r="K218" s="23" t="s">
        <v>1313</v>
      </c>
      <c r="L218" s="23" t="s">
        <v>35</v>
      </c>
      <c r="M218" s="23" t="s">
        <v>1314</v>
      </c>
      <c r="N218" s="23" t="s">
        <v>1290</v>
      </c>
      <c r="O218" s="9" t="n">
        <v>1</v>
      </c>
      <c r="P218" s="23" t="n">
        <v>1.17</v>
      </c>
      <c r="Q218" s="9" t="s">
        <v>110</v>
      </c>
    </row>
    <row r="219" customFormat="false" ht="39.75" hidden="false" customHeight="true" outlineLevel="0" collapsed="false">
      <c r="A219" s="10" t="s">
        <v>229</v>
      </c>
      <c r="B219" s="23" t="n">
        <v>32</v>
      </c>
      <c r="C219" s="23" t="s">
        <v>17</v>
      </c>
      <c r="D219" s="37" t="s">
        <v>17</v>
      </c>
      <c r="E219" s="23" t="s">
        <v>1315</v>
      </c>
      <c r="F219" s="37" t="n">
        <v>9</v>
      </c>
      <c r="G219" s="37" t="n">
        <v>2024</v>
      </c>
      <c r="H219" s="23" t="s">
        <v>121</v>
      </c>
      <c r="I219" s="23" t="s">
        <v>231</v>
      </c>
      <c r="J219" s="23" t="s">
        <v>535</v>
      </c>
      <c r="K219" s="23" t="s">
        <v>1316</v>
      </c>
      <c r="L219" s="23" t="s">
        <v>1299</v>
      </c>
      <c r="M219" s="23" t="s">
        <v>1317</v>
      </c>
      <c r="N219" s="23" t="s">
        <v>1290</v>
      </c>
      <c r="O219" s="9" t="n">
        <v>0.3</v>
      </c>
      <c r="P219" s="23" t="n">
        <v>0.351</v>
      </c>
      <c r="Q219" s="9" t="s">
        <v>110</v>
      </c>
    </row>
    <row r="220" customFormat="false" ht="39.75" hidden="false" customHeight="true" outlineLevel="0" collapsed="false">
      <c r="A220" s="10" t="s">
        <v>229</v>
      </c>
      <c r="B220" s="23" t="n">
        <v>32</v>
      </c>
      <c r="C220" s="23" t="s">
        <v>17</v>
      </c>
      <c r="D220" s="37" t="s">
        <v>17</v>
      </c>
      <c r="E220" s="23" t="s">
        <v>1318</v>
      </c>
      <c r="F220" s="37" t="n">
        <v>10</v>
      </c>
      <c r="G220" s="37" t="n">
        <v>2024</v>
      </c>
      <c r="H220" s="23" t="s">
        <v>121</v>
      </c>
      <c r="I220" s="23" t="s">
        <v>231</v>
      </c>
      <c r="J220" s="23" t="s">
        <v>535</v>
      </c>
      <c r="K220" s="23" t="s">
        <v>1319</v>
      </c>
      <c r="L220" s="23" t="s">
        <v>1310</v>
      </c>
      <c r="M220" s="23" t="s">
        <v>1320</v>
      </c>
      <c r="N220" s="23" t="s">
        <v>1290</v>
      </c>
      <c r="O220" s="9" t="n">
        <v>0.321</v>
      </c>
      <c r="P220" s="23" t="n">
        <v>0.37557</v>
      </c>
      <c r="Q220" s="9" t="s">
        <v>38</v>
      </c>
    </row>
    <row r="221" customFormat="false" ht="39.75" hidden="false" customHeight="true" outlineLevel="0" collapsed="false">
      <c r="A221" s="10" t="s">
        <v>229</v>
      </c>
      <c r="B221" s="23" t="n">
        <v>32</v>
      </c>
      <c r="C221" s="23" t="s">
        <v>17</v>
      </c>
      <c r="D221" s="37" t="s">
        <v>17</v>
      </c>
      <c r="E221" s="23" t="s">
        <v>1321</v>
      </c>
      <c r="F221" s="37" t="n">
        <v>11</v>
      </c>
      <c r="G221" s="37" t="n">
        <v>2024</v>
      </c>
      <c r="H221" s="23" t="s">
        <v>121</v>
      </c>
      <c r="I221" s="23" t="s">
        <v>231</v>
      </c>
      <c r="J221" s="23" t="s">
        <v>535</v>
      </c>
      <c r="K221" s="23" t="s">
        <v>1322</v>
      </c>
      <c r="L221" s="23" t="s">
        <v>1323</v>
      </c>
      <c r="M221" s="23" t="s">
        <v>1324</v>
      </c>
      <c r="N221" s="23" t="s">
        <v>1290</v>
      </c>
      <c r="O221" s="9" t="n">
        <v>0.585</v>
      </c>
      <c r="P221" s="23" t="n">
        <v>0.68445</v>
      </c>
      <c r="Q221" s="9" t="s">
        <v>25</v>
      </c>
    </row>
    <row r="222" customFormat="false" ht="39.75" hidden="false" customHeight="true" outlineLevel="0" collapsed="false">
      <c r="A222" s="10" t="s">
        <v>229</v>
      </c>
      <c r="B222" s="23" t="n">
        <v>32</v>
      </c>
      <c r="C222" s="23" t="s">
        <v>17</v>
      </c>
      <c r="D222" s="37" t="s">
        <v>17</v>
      </c>
      <c r="E222" s="23" t="s">
        <v>1325</v>
      </c>
      <c r="F222" s="37" t="n">
        <v>12</v>
      </c>
      <c r="G222" s="37" t="n">
        <v>2024</v>
      </c>
      <c r="H222" s="23" t="s">
        <v>121</v>
      </c>
      <c r="I222" s="23" t="s">
        <v>231</v>
      </c>
      <c r="J222" s="23" t="s">
        <v>535</v>
      </c>
      <c r="K222" s="23" t="s">
        <v>1326</v>
      </c>
      <c r="L222" s="23" t="s">
        <v>1147</v>
      </c>
      <c r="M222" s="23" t="s">
        <v>1327</v>
      </c>
      <c r="N222" s="23" t="s">
        <v>1290</v>
      </c>
      <c r="O222" s="9" t="n">
        <v>1.4</v>
      </c>
      <c r="P222" s="23" t="n">
        <v>1.638</v>
      </c>
      <c r="Q222" s="9" t="s">
        <v>25</v>
      </c>
    </row>
    <row r="223" customFormat="false" ht="39.75" hidden="false" customHeight="true" outlineLevel="0" collapsed="false">
      <c r="A223" s="10" t="s">
        <v>229</v>
      </c>
      <c r="B223" s="23" t="n">
        <v>32</v>
      </c>
      <c r="C223" s="23" t="s">
        <v>17</v>
      </c>
      <c r="D223" s="37" t="s">
        <v>17</v>
      </c>
      <c r="E223" s="23" t="s">
        <v>1328</v>
      </c>
      <c r="F223" s="37" t="n">
        <v>13</v>
      </c>
      <c r="G223" s="37" t="n">
        <v>2024</v>
      </c>
      <c r="H223" s="23" t="s">
        <v>121</v>
      </c>
      <c r="I223" s="23" t="s">
        <v>231</v>
      </c>
      <c r="J223" s="23" t="s">
        <v>535</v>
      </c>
      <c r="K223" s="23" t="s">
        <v>1329</v>
      </c>
      <c r="L223" s="23" t="s">
        <v>25</v>
      </c>
      <c r="M223" s="23" t="s">
        <v>1330</v>
      </c>
      <c r="N223" s="23" t="s">
        <v>1290</v>
      </c>
      <c r="O223" s="9" t="n">
        <v>0.53</v>
      </c>
      <c r="P223" s="23" t="n">
        <v>0.6201</v>
      </c>
      <c r="Q223" s="9" t="s">
        <v>25</v>
      </c>
    </row>
    <row r="224" customFormat="false" ht="39.75" hidden="false" customHeight="true" outlineLevel="0" collapsed="false">
      <c r="A224" s="10" t="s">
        <v>229</v>
      </c>
      <c r="B224" s="23" t="n">
        <v>32</v>
      </c>
      <c r="C224" s="23" t="s">
        <v>17</v>
      </c>
      <c r="D224" s="37" t="s">
        <v>17</v>
      </c>
      <c r="E224" s="23" t="s">
        <v>1331</v>
      </c>
      <c r="F224" s="37" t="n">
        <v>14</v>
      </c>
      <c r="G224" s="37" t="n">
        <v>2024</v>
      </c>
      <c r="H224" s="23" t="s">
        <v>121</v>
      </c>
      <c r="I224" s="23" t="s">
        <v>231</v>
      </c>
      <c r="J224" s="23" t="s">
        <v>535</v>
      </c>
      <c r="K224" s="23" t="s">
        <v>1332</v>
      </c>
      <c r="L224" s="23" t="s">
        <v>1333</v>
      </c>
      <c r="M224" s="23" t="s">
        <v>1334</v>
      </c>
      <c r="N224" s="23" t="s">
        <v>1290</v>
      </c>
      <c r="O224" s="9" t="n">
        <v>0.65</v>
      </c>
      <c r="P224" s="23" t="n">
        <v>0.7605</v>
      </c>
      <c r="Q224" s="9" t="s">
        <v>110</v>
      </c>
    </row>
    <row r="225" customFormat="false" ht="39.75" hidden="false" customHeight="true" outlineLevel="0" collapsed="false">
      <c r="A225" s="10" t="s">
        <v>229</v>
      </c>
      <c r="B225" s="23" t="n">
        <v>32</v>
      </c>
      <c r="C225" s="23" t="s">
        <v>17</v>
      </c>
      <c r="D225" s="37" t="s">
        <v>17</v>
      </c>
      <c r="E225" s="23" t="s">
        <v>1335</v>
      </c>
      <c r="F225" s="37" t="n">
        <v>15</v>
      </c>
      <c r="G225" s="37" t="n">
        <v>2024</v>
      </c>
      <c r="H225" s="23" t="s">
        <v>121</v>
      </c>
      <c r="I225" s="23" t="s">
        <v>231</v>
      </c>
      <c r="J225" s="23" t="s">
        <v>535</v>
      </c>
      <c r="K225" s="23" t="s">
        <v>1336</v>
      </c>
      <c r="L225" s="23" t="s">
        <v>443</v>
      </c>
      <c r="M225" s="23" t="s">
        <v>1337</v>
      </c>
      <c r="N225" s="23" t="s">
        <v>1290</v>
      </c>
      <c r="O225" s="9" t="n">
        <v>0.438</v>
      </c>
      <c r="P225" s="23" t="n">
        <v>0.51246</v>
      </c>
      <c r="Q225" s="9" t="s">
        <v>110</v>
      </c>
    </row>
    <row r="226" customFormat="false" ht="39.75" hidden="false" customHeight="true" outlineLevel="0" collapsed="false">
      <c r="A226" s="10" t="s">
        <v>248</v>
      </c>
      <c r="B226" s="10" t="n">
        <v>35</v>
      </c>
      <c r="C226" s="10" t="s">
        <v>253</v>
      </c>
      <c r="D226" s="10" t="s">
        <v>28</v>
      </c>
      <c r="E226" s="10" t="s">
        <v>1338</v>
      </c>
      <c r="F226" s="10" t="n">
        <v>1</v>
      </c>
      <c r="G226" s="37" t="n">
        <v>2022</v>
      </c>
      <c r="H226" s="23" t="s">
        <v>1066</v>
      </c>
      <c r="I226" s="23" t="s">
        <v>238</v>
      </c>
      <c r="J226" s="23" t="s">
        <v>535</v>
      </c>
      <c r="K226" s="23" t="s">
        <v>1339</v>
      </c>
      <c r="L226" s="23" t="s">
        <v>1299</v>
      </c>
      <c r="M226" s="23" t="s">
        <v>1340</v>
      </c>
      <c r="N226" s="9" t="s">
        <v>1341</v>
      </c>
      <c r="O226" s="9" t="n">
        <v>85</v>
      </c>
      <c r="P226" s="23" t="n">
        <v>99.45</v>
      </c>
      <c r="Q226" s="9" t="s">
        <v>110</v>
      </c>
    </row>
    <row r="227" customFormat="false" ht="39.75" hidden="false" customHeight="true" outlineLevel="0" collapsed="false">
      <c r="A227" s="10" t="s">
        <v>401</v>
      </c>
      <c r="B227" s="23" t="n">
        <v>49</v>
      </c>
      <c r="C227" s="23" t="s">
        <v>17</v>
      </c>
      <c r="D227" s="23" t="s">
        <v>17</v>
      </c>
      <c r="E227" s="23" t="s">
        <v>1342</v>
      </c>
      <c r="F227" s="23" t="n">
        <v>1</v>
      </c>
      <c r="G227" s="23" t="n">
        <v>2024</v>
      </c>
      <c r="H227" s="23" t="s">
        <v>376</v>
      </c>
      <c r="I227" s="23" t="s">
        <v>19</v>
      </c>
      <c r="J227" s="23" t="s">
        <v>535</v>
      </c>
      <c r="K227" s="38" t="s">
        <v>1343</v>
      </c>
      <c r="L227" s="23" t="s">
        <v>68</v>
      </c>
      <c r="M227" s="23" t="s">
        <v>1344</v>
      </c>
      <c r="N227" s="23" t="s">
        <v>1345</v>
      </c>
      <c r="O227" s="9" t="n">
        <v>11</v>
      </c>
      <c r="P227" s="23" t="n">
        <v>12.87</v>
      </c>
      <c r="Q227" s="9" t="s">
        <v>25</v>
      </c>
    </row>
    <row r="228" customFormat="false" ht="39.75" hidden="false" customHeight="true" outlineLevel="0" collapsed="false">
      <c r="A228" s="10" t="s">
        <v>401</v>
      </c>
      <c r="B228" s="23" t="n">
        <v>49</v>
      </c>
      <c r="C228" s="23" t="s">
        <v>17</v>
      </c>
      <c r="D228" s="23" t="s">
        <v>17</v>
      </c>
      <c r="E228" s="23" t="s">
        <v>1346</v>
      </c>
      <c r="F228" s="23" t="n">
        <v>2</v>
      </c>
      <c r="G228" s="23" t="n">
        <v>2024</v>
      </c>
      <c r="H228" s="23" t="s">
        <v>376</v>
      </c>
      <c r="I228" s="23" t="s">
        <v>19</v>
      </c>
      <c r="J228" s="23" t="s">
        <v>535</v>
      </c>
      <c r="K228" s="38" t="s">
        <v>1347</v>
      </c>
      <c r="L228" s="23" t="s">
        <v>227</v>
      </c>
      <c r="M228" s="23" t="s">
        <v>1348</v>
      </c>
      <c r="N228" s="23" t="s">
        <v>1345</v>
      </c>
      <c r="O228" s="9" t="n">
        <v>115</v>
      </c>
      <c r="P228" s="23" t="n">
        <v>134.55</v>
      </c>
      <c r="Q228" s="9" t="s">
        <v>25</v>
      </c>
    </row>
    <row r="229" customFormat="false" ht="39.75" hidden="false" customHeight="true" outlineLevel="0" collapsed="false">
      <c r="A229" s="10" t="s">
        <v>401</v>
      </c>
      <c r="B229" s="23" t="n">
        <v>49</v>
      </c>
      <c r="C229" s="23" t="s">
        <v>17</v>
      </c>
      <c r="D229" s="23" t="s">
        <v>17</v>
      </c>
      <c r="E229" s="23" t="s">
        <v>1349</v>
      </c>
      <c r="F229" s="23" t="n">
        <v>3</v>
      </c>
      <c r="G229" s="23" t="n">
        <v>2024</v>
      </c>
      <c r="H229" s="23" t="s">
        <v>376</v>
      </c>
      <c r="I229" s="23" t="s">
        <v>19</v>
      </c>
      <c r="J229" s="23" t="s">
        <v>535</v>
      </c>
      <c r="K229" s="38" t="s">
        <v>1350</v>
      </c>
      <c r="L229" s="23" t="s">
        <v>1276</v>
      </c>
      <c r="M229" s="23" t="s">
        <v>1351</v>
      </c>
      <c r="N229" s="23" t="s">
        <v>1345</v>
      </c>
      <c r="O229" s="9" t="n">
        <v>9.5</v>
      </c>
      <c r="P229" s="23" t="n">
        <v>11.115</v>
      </c>
      <c r="Q229" s="9" t="s">
        <v>119</v>
      </c>
    </row>
    <row r="230" customFormat="false" ht="39.75" hidden="false" customHeight="true" outlineLevel="0" collapsed="false">
      <c r="A230" s="10" t="s">
        <v>401</v>
      </c>
      <c r="B230" s="23" t="n">
        <v>49</v>
      </c>
      <c r="C230" s="23" t="s">
        <v>17</v>
      </c>
      <c r="D230" s="23" t="s">
        <v>17</v>
      </c>
      <c r="E230" s="23" t="s">
        <v>1352</v>
      </c>
      <c r="F230" s="23" t="n">
        <v>4</v>
      </c>
      <c r="G230" s="23" t="n">
        <v>2024</v>
      </c>
      <c r="H230" s="23" t="s">
        <v>376</v>
      </c>
      <c r="I230" s="23" t="s">
        <v>19</v>
      </c>
      <c r="J230" s="23" t="s">
        <v>535</v>
      </c>
      <c r="K230" s="38" t="s">
        <v>1353</v>
      </c>
      <c r="L230" s="23" t="s">
        <v>1354</v>
      </c>
      <c r="M230" s="23" t="s">
        <v>1355</v>
      </c>
      <c r="N230" s="23" t="s">
        <v>1345</v>
      </c>
      <c r="O230" s="9" t="n">
        <v>12</v>
      </c>
      <c r="P230" s="23" t="n">
        <v>14.04</v>
      </c>
      <c r="Q230" s="9" t="s">
        <v>38</v>
      </c>
    </row>
    <row r="231" customFormat="false" ht="39.75" hidden="false" customHeight="true" outlineLevel="0" collapsed="false">
      <c r="A231" s="10" t="s">
        <v>401</v>
      </c>
      <c r="B231" s="23" t="n">
        <v>49</v>
      </c>
      <c r="C231" s="23" t="s">
        <v>17</v>
      </c>
      <c r="D231" s="23" t="s">
        <v>17</v>
      </c>
      <c r="E231" s="23" t="s">
        <v>1356</v>
      </c>
      <c r="F231" s="23" t="n">
        <v>5</v>
      </c>
      <c r="G231" s="23" t="n">
        <v>2024</v>
      </c>
      <c r="H231" s="23" t="s">
        <v>376</v>
      </c>
      <c r="I231" s="23" t="s">
        <v>19</v>
      </c>
      <c r="J231" s="23" t="s">
        <v>535</v>
      </c>
      <c r="K231" s="38" t="s">
        <v>1357</v>
      </c>
      <c r="L231" s="23" t="s">
        <v>35</v>
      </c>
      <c r="M231" s="23" t="s">
        <v>1358</v>
      </c>
      <c r="N231" s="23" t="s">
        <v>1345</v>
      </c>
      <c r="O231" s="9" t="n">
        <v>1.5</v>
      </c>
      <c r="P231" s="23" t="n">
        <v>1.755</v>
      </c>
      <c r="Q231" s="9" t="s">
        <v>38</v>
      </c>
    </row>
    <row r="232" customFormat="false" ht="39.75" hidden="false" customHeight="true" outlineLevel="0" collapsed="false">
      <c r="A232" s="10" t="s">
        <v>401</v>
      </c>
      <c r="B232" s="23" t="n">
        <v>49</v>
      </c>
      <c r="C232" s="23" t="s">
        <v>17</v>
      </c>
      <c r="D232" s="23" t="s">
        <v>17</v>
      </c>
      <c r="E232" s="23" t="s">
        <v>1359</v>
      </c>
      <c r="F232" s="23" t="n">
        <v>6</v>
      </c>
      <c r="G232" s="23" t="n">
        <v>2024</v>
      </c>
      <c r="H232" s="23" t="s">
        <v>376</v>
      </c>
      <c r="I232" s="23" t="s">
        <v>19</v>
      </c>
      <c r="J232" s="23" t="s">
        <v>535</v>
      </c>
      <c r="K232" s="38" t="s">
        <v>1360</v>
      </c>
      <c r="L232" s="23" t="s">
        <v>1354</v>
      </c>
      <c r="M232" s="23" t="s">
        <v>1361</v>
      </c>
      <c r="N232" s="23" t="s">
        <v>1345</v>
      </c>
      <c r="O232" s="9" t="n">
        <v>22</v>
      </c>
      <c r="P232" s="23" t="n">
        <v>25.74</v>
      </c>
      <c r="Q232" s="9" t="s">
        <v>119</v>
      </c>
    </row>
    <row r="233" customFormat="false" ht="39.75" hidden="false" customHeight="true" outlineLevel="0" collapsed="false">
      <c r="A233" s="10" t="s">
        <v>401</v>
      </c>
      <c r="B233" s="23" t="n">
        <v>49</v>
      </c>
      <c r="C233" s="23" t="s">
        <v>17</v>
      </c>
      <c r="D233" s="23" t="s">
        <v>17</v>
      </c>
      <c r="E233" s="23" t="s">
        <v>1362</v>
      </c>
      <c r="F233" s="23" t="n">
        <v>7</v>
      </c>
      <c r="G233" s="23" t="n">
        <v>2024</v>
      </c>
      <c r="H233" s="23" t="s">
        <v>376</v>
      </c>
      <c r="I233" s="23" t="s">
        <v>19</v>
      </c>
      <c r="J233" s="23" t="s">
        <v>535</v>
      </c>
      <c r="K233" s="38" t="s">
        <v>1363</v>
      </c>
      <c r="L233" s="23" t="s">
        <v>639</v>
      </c>
      <c r="M233" s="23" t="s">
        <v>1364</v>
      </c>
      <c r="N233" s="23" t="s">
        <v>1345</v>
      </c>
      <c r="O233" s="9" t="n">
        <v>19</v>
      </c>
      <c r="P233" s="23" t="n">
        <v>22.23</v>
      </c>
      <c r="Q233" s="9" t="s">
        <v>25</v>
      </c>
    </row>
    <row r="234" customFormat="false" ht="39.75" hidden="false" customHeight="true" outlineLevel="0" collapsed="false">
      <c r="A234" s="10" t="s">
        <v>401</v>
      </c>
      <c r="B234" s="23" t="n">
        <v>49</v>
      </c>
      <c r="C234" s="23" t="s">
        <v>17</v>
      </c>
      <c r="D234" s="23" t="s">
        <v>17</v>
      </c>
      <c r="E234" s="23" t="s">
        <v>1365</v>
      </c>
      <c r="F234" s="23" t="n">
        <v>8</v>
      </c>
      <c r="G234" s="23" t="n">
        <v>2024</v>
      </c>
      <c r="H234" s="23" t="s">
        <v>376</v>
      </c>
      <c r="I234" s="23" t="s">
        <v>19</v>
      </c>
      <c r="J234" s="23" t="s">
        <v>535</v>
      </c>
      <c r="K234" s="38" t="s">
        <v>1366</v>
      </c>
      <c r="L234" s="23" t="s">
        <v>110</v>
      </c>
      <c r="M234" s="23" t="s">
        <v>1367</v>
      </c>
      <c r="N234" s="23" t="s">
        <v>1345</v>
      </c>
      <c r="O234" s="9" t="n">
        <v>1.6</v>
      </c>
      <c r="P234" s="23" t="n">
        <v>1.872</v>
      </c>
      <c r="Q234" s="9" t="s">
        <v>110</v>
      </c>
    </row>
    <row r="235" customFormat="false" ht="39.75" hidden="false" customHeight="true" outlineLevel="0" collapsed="false">
      <c r="A235" s="10" t="s">
        <v>401</v>
      </c>
      <c r="B235" s="23" t="n">
        <v>49</v>
      </c>
      <c r="C235" s="23" t="s">
        <v>17</v>
      </c>
      <c r="D235" s="23" t="s">
        <v>17</v>
      </c>
      <c r="E235" s="23" t="s">
        <v>1368</v>
      </c>
      <c r="F235" s="23" t="n">
        <v>9</v>
      </c>
      <c r="G235" s="23" t="n">
        <v>2025</v>
      </c>
      <c r="H235" s="23" t="s">
        <v>268</v>
      </c>
      <c r="I235" s="23" t="s">
        <v>19</v>
      </c>
      <c r="J235" s="23" t="s">
        <v>535</v>
      </c>
      <c r="K235" s="38" t="s">
        <v>1369</v>
      </c>
      <c r="L235" s="23" t="s">
        <v>35</v>
      </c>
      <c r="M235" s="23" t="s">
        <v>1370</v>
      </c>
      <c r="N235" s="23" t="s">
        <v>1345</v>
      </c>
      <c r="O235" s="9" t="n">
        <v>0.5</v>
      </c>
      <c r="P235" s="23" t="n">
        <v>0.585</v>
      </c>
      <c r="Q235" s="9" t="s">
        <v>110</v>
      </c>
    </row>
    <row r="236" customFormat="false" ht="39.75" hidden="false" customHeight="true" outlineLevel="0" collapsed="false">
      <c r="A236" s="10" t="s">
        <v>401</v>
      </c>
      <c r="B236" s="23" t="n">
        <v>49</v>
      </c>
      <c r="C236" s="23" t="s">
        <v>17</v>
      </c>
      <c r="D236" s="23" t="s">
        <v>17</v>
      </c>
      <c r="E236" s="23" t="s">
        <v>1371</v>
      </c>
      <c r="F236" s="23" t="n">
        <v>10</v>
      </c>
      <c r="G236" s="23" t="n">
        <v>2025</v>
      </c>
      <c r="H236" s="23" t="s">
        <v>268</v>
      </c>
      <c r="I236" s="23" t="s">
        <v>19</v>
      </c>
      <c r="J236" s="23" t="s">
        <v>535</v>
      </c>
      <c r="K236" s="38" t="s">
        <v>1372</v>
      </c>
      <c r="L236" s="23" t="s">
        <v>110</v>
      </c>
      <c r="M236" s="23" t="s">
        <v>1373</v>
      </c>
      <c r="N236" s="23" t="s">
        <v>1345</v>
      </c>
      <c r="O236" s="9" t="n">
        <v>0.345</v>
      </c>
      <c r="P236" s="23" t="n">
        <v>0.40365</v>
      </c>
      <c r="Q236" s="9" t="s">
        <v>110</v>
      </c>
    </row>
    <row r="237" customFormat="false" ht="39.75" hidden="false" customHeight="true" outlineLevel="0" collapsed="false">
      <c r="A237" s="10" t="s">
        <v>401</v>
      </c>
      <c r="B237" s="23" t="n">
        <v>49</v>
      </c>
      <c r="C237" s="23" t="s">
        <v>17</v>
      </c>
      <c r="D237" s="23" t="s">
        <v>17</v>
      </c>
      <c r="E237" s="23" t="s">
        <v>1374</v>
      </c>
      <c r="F237" s="23" t="n">
        <v>11</v>
      </c>
      <c r="G237" s="23" t="n">
        <v>2025</v>
      </c>
      <c r="H237" s="23" t="s">
        <v>268</v>
      </c>
      <c r="I237" s="23" t="s">
        <v>19</v>
      </c>
      <c r="J237" s="23" t="s">
        <v>535</v>
      </c>
      <c r="K237" s="38" t="s">
        <v>1375</v>
      </c>
      <c r="L237" s="23" t="s">
        <v>35</v>
      </c>
      <c r="M237" s="23" t="s">
        <v>1376</v>
      </c>
      <c r="N237" s="23" t="s">
        <v>1345</v>
      </c>
      <c r="O237" s="9" t="n">
        <v>2.9</v>
      </c>
      <c r="P237" s="23" t="n">
        <v>3.393</v>
      </c>
      <c r="Q237" s="9" t="s">
        <v>110</v>
      </c>
    </row>
    <row r="238" customFormat="false" ht="39.75" hidden="false" customHeight="true" outlineLevel="0" collapsed="false">
      <c r="A238" s="10" t="s">
        <v>276</v>
      </c>
      <c r="B238" s="10" t="n">
        <v>40</v>
      </c>
      <c r="C238" s="23" t="s">
        <v>17</v>
      </c>
      <c r="D238" s="23" t="s">
        <v>17</v>
      </c>
      <c r="E238" s="23" t="s">
        <v>1377</v>
      </c>
      <c r="F238" s="23" t="n">
        <v>1</v>
      </c>
      <c r="G238" s="23" t="n">
        <v>2024</v>
      </c>
      <c r="H238" s="23" t="s">
        <v>376</v>
      </c>
      <c r="I238" s="23" t="s">
        <v>278</v>
      </c>
      <c r="J238" s="23" t="s">
        <v>82</v>
      </c>
      <c r="K238" s="23" t="s">
        <v>1178</v>
      </c>
      <c r="L238" s="23" t="s">
        <v>537</v>
      </c>
      <c r="M238" s="23" t="s">
        <v>1378</v>
      </c>
      <c r="N238" s="24" t="s">
        <v>1379</v>
      </c>
      <c r="O238" s="23" t="s">
        <v>17</v>
      </c>
      <c r="P238" s="23" t="s">
        <v>17</v>
      </c>
      <c r="Q238" s="9" t="s">
        <v>44</v>
      </c>
    </row>
    <row r="239" customFormat="false" ht="39.75" hidden="false" customHeight="true" outlineLevel="0" collapsed="false">
      <c r="A239" s="10" t="s">
        <v>276</v>
      </c>
      <c r="B239" s="10" t="n">
        <v>40</v>
      </c>
      <c r="C239" s="23" t="s">
        <v>17</v>
      </c>
      <c r="D239" s="23" t="s">
        <v>17</v>
      </c>
      <c r="E239" s="23" t="s">
        <v>1380</v>
      </c>
      <c r="F239" s="23" t="n">
        <v>2</v>
      </c>
      <c r="G239" s="23" t="n">
        <v>2024</v>
      </c>
      <c r="H239" s="23" t="s">
        <v>376</v>
      </c>
      <c r="I239" s="23" t="s">
        <v>278</v>
      </c>
      <c r="J239" s="23" t="s">
        <v>82</v>
      </c>
      <c r="K239" s="23" t="s">
        <v>1178</v>
      </c>
      <c r="L239" s="23" t="s">
        <v>1381</v>
      </c>
      <c r="M239" s="23" t="s">
        <v>1382</v>
      </c>
      <c r="N239" s="24" t="s">
        <v>1379</v>
      </c>
      <c r="O239" s="23" t="s">
        <v>17</v>
      </c>
      <c r="P239" s="23" t="s">
        <v>17</v>
      </c>
      <c r="Q239" s="9" t="s">
        <v>286</v>
      </c>
    </row>
    <row r="240" customFormat="false" ht="39.75" hidden="false" customHeight="true" outlineLevel="0" collapsed="false">
      <c r="A240" s="10" t="s">
        <v>276</v>
      </c>
      <c r="B240" s="10" t="n">
        <v>40</v>
      </c>
      <c r="C240" s="23" t="s">
        <v>17</v>
      </c>
      <c r="D240" s="23" t="s">
        <v>17</v>
      </c>
      <c r="E240" s="23" t="s">
        <v>1383</v>
      </c>
      <c r="F240" s="23" t="n">
        <v>3</v>
      </c>
      <c r="G240" s="23" t="n">
        <v>2024</v>
      </c>
      <c r="H240" s="23" t="s">
        <v>376</v>
      </c>
      <c r="I240" s="23" t="s">
        <v>278</v>
      </c>
      <c r="J240" s="23" t="s">
        <v>82</v>
      </c>
      <c r="K240" s="23" t="s">
        <v>1178</v>
      </c>
      <c r="L240" s="23" t="s">
        <v>286</v>
      </c>
      <c r="M240" s="23" t="s">
        <v>1384</v>
      </c>
      <c r="N240" s="24" t="s">
        <v>1379</v>
      </c>
      <c r="O240" s="23" t="s">
        <v>17</v>
      </c>
      <c r="P240" s="23" t="s">
        <v>17</v>
      </c>
      <c r="Q240" s="9" t="s">
        <v>286</v>
      </c>
    </row>
    <row r="241" customFormat="false" ht="39.75" hidden="false" customHeight="true" outlineLevel="0" collapsed="false">
      <c r="A241" s="10" t="s">
        <v>276</v>
      </c>
      <c r="B241" s="10" t="n">
        <v>40</v>
      </c>
      <c r="C241" s="23" t="s">
        <v>17</v>
      </c>
      <c r="D241" s="23" t="s">
        <v>17</v>
      </c>
      <c r="E241" s="23" t="s">
        <v>1385</v>
      </c>
      <c r="F241" s="23" t="n">
        <v>4</v>
      </c>
      <c r="G241" s="23" t="n">
        <v>2024</v>
      </c>
      <c r="H241" s="23" t="s">
        <v>376</v>
      </c>
      <c r="I241" s="23" t="s">
        <v>278</v>
      </c>
      <c r="J241" s="23" t="s">
        <v>82</v>
      </c>
      <c r="K241" s="23" t="s">
        <v>1178</v>
      </c>
      <c r="L241" s="23" t="s">
        <v>286</v>
      </c>
      <c r="M241" s="23" t="s">
        <v>1386</v>
      </c>
      <c r="N241" s="24" t="s">
        <v>1379</v>
      </c>
      <c r="O241" s="23" t="s">
        <v>17</v>
      </c>
      <c r="P241" s="23" t="s">
        <v>17</v>
      </c>
      <c r="Q241" s="9" t="s">
        <v>286</v>
      </c>
    </row>
    <row r="242" customFormat="false" ht="39.75" hidden="false" customHeight="true" outlineLevel="0" collapsed="false">
      <c r="A242" s="10" t="s">
        <v>276</v>
      </c>
      <c r="B242" s="10" t="n">
        <v>40</v>
      </c>
      <c r="C242" s="23" t="s">
        <v>17</v>
      </c>
      <c r="D242" s="23" t="s">
        <v>17</v>
      </c>
      <c r="E242" s="23" t="s">
        <v>1387</v>
      </c>
      <c r="F242" s="23" t="n">
        <v>5</v>
      </c>
      <c r="G242" s="23" t="n">
        <v>2024</v>
      </c>
      <c r="H242" s="23" t="s">
        <v>376</v>
      </c>
      <c r="I242" s="23" t="s">
        <v>278</v>
      </c>
      <c r="J242" s="23" t="s">
        <v>82</v>
      </c>
      <c r="K242" s="23" t="s">
        <v>1178</v>
      </c>
      <c r="L242" s="23" t="s">
        <v>622</v>
      </c>
      <c r="M242" s="23" t="s">
        <v>1388</v>
      </c>
      <c r="N242" s="24" t="s">
        <v>1379</v>
      </c>
      <c r="O242" s="23" t="s">
        <v>17</v>
      </c>
      <c r="P242" s="23" t="s">
        <v>17</v>
      </c>
      <c r="Q242" s="9" t="s">
        <v>286</v>
      </c>
    </row>
    <row r="243" customFormat="false" ht="39.75" hidden="false" customHeight="true" outlineLevel="0" collapsed="false">
      <c r="A243" s="10" t="s">
        <v>276</v>
      </c>
      <c r="B243" s="10" t="n">
        <v>40</v>
      </c>
      <c r="C243" s="23" t="s">
        <v>17</v>
      </c>
      <c r="D243" s="23" t="s">
        <v>17</v>
      </c>
      <c r="E243" s="23" t="s">
        <v>1389</v>
      </c>
      <c r="F243" s="23" t="n">
        <v>6</v>
      </c>
      <c r="G243" s="23" t="n">
        <v>2024</v>
      </c>
      <c r="H243" s="23" t="s">
        <v>376</v>
      </c>
      <c r="I243" s="23" t="s">
        <v>278</v>
      </c>
      <c r="J243" s="23" t="s">
        <v>82</v>
      </c>
      <c r="K243" s="23" t="s">
        <v>1178</v>
      </c>
      <c r="L243" s="23" t="s">
        <v>1303</v>
      </c>
      <c r="M243" s="23" t="s">
        <v>1390</v>
      </c>
      <c r="N243" s="24" t="s">
        <v>1379</v>
      </c>
      <c r="O243" s="23" t="s">
        <v>17</v>
      </c>
      <c r="P243" s="23" t="s">
        <v>17</v>
      </c>
      <c r="Q243" s="9" t="s">
        <v>25</v>
      </c>
    </row>
    <row r="244" customFormat="false" ht="39.75" hidden="false" customHeight="true" outlineLevel="0" collapsed="false">
      <c r="A244" s="10" t="s">
        <v>276</v>
      </c>
      <c r="B244" s="10" t="n">
        <v>40</v>
      </c>
      <c r="C244" s="23" t="s">
        <v>17</v>
      </c>
      <c r="D244" s="23" t="s">
        <v>17</v>
      </c>
      <c r="E244" s="23" t="s">
        <v>1391</v>
      </c>
      <c r="F244" s="23" t="n">
        <v>7</v>
      </c>
      <c r="G244" s="23" t="n">
        <v>2024</v>
      </c>
      <c r="H244" s="23" t="s">
        <v>376</v>
      </c>
      <c r="I244" s="23" t="s">
        <v>278</v>
      </c>
      <c r="J244" s="23" t="s">
        <v>82</v>
      </c>
      <c r="K244" s="23" t="s">
        <v>1178</v>
      </c>
      <c r="L244" s="23" t="s">
        <v>537</v>
      </c>
      <c r="M244" s="23" t="s">
        <v>1392</v>
      </c>
      <c r="N244" s="24" t="s">
        <v>1379</v>
      </c>
      <c r="O244" s="23" t="s">
        <v>17</v>
      </c>
      <c r="P244" s="23" t="s">
        <v>17</v>
      </c>
      <c r="Q244" s="9" t="s">
        <v>44</v>
      </c>
    </row>
    <row r="245" customFormat="false" ht="39.75" hidden="false" customHeight="true" outlineLevel="0" collapsed="false">
      <c r="A245" s="10" t="s">
        <v>276</v>
      </c>
      <c r="B245" s="10" t="n">
        <v>40</v>
      </c>
      <c r="C245" s="23" t="s">
        <v>17</v>
      </c>
      <c r="D245" s="23" t="s">
        <v>17</v>
      </c>
      <c r="E245" s="23" t="s">
        <v>1393</v>
      </c>
      <c r="F245" s="23" t="n">
        <v>8</v>
      </c>
      <c r="G245" s="23" t="n">
        <v>2024</v>
      </c>
      <c r="H245" s="23" t="s">
        <v>376</v>
      </c>
      <c r="I245" s="23" t="s">
        <v>278</v>
      </c>
      <c r="J245" s="23" t="s">
        <v>82</v>
      </c>
      <c r="K245" s="23" t="s">
        <v>1178</v>
      </c>
      <c r="L245" s="23" t="s">
        <v>537</v>
      </c>
      <c r="M245" s="23" t="s">
        <v>1394</v>
      </c>
      <c r="N245" s="24" t="s">
        <v>1379</v>
      </c>
      <c r="O245" s="23" t="s">
        <v>17</v>
      </c>
      <c r="P245" s="23" t="s">
        <v>17</v>
      </c>
      <c r="Q245" s="9" t="s">
        <v>44</v>
      </c>
    </row>
    <row r="246" customFormat="false" ht="39.75" hidden="false" customHeight="true" outlineLevel="0" collapsed="false">
      <c r="A246" s="10" t="s">
        <v>276</v>
      </c>
      <c r="B246" s="10" t="n">
        <v>40</v>
      </c>
      <c r="C246" s="23" t="s">
        <v>17</v>
      </c>
      <c r="D246" s="23" t="s">
        <v>17</v>
      </c>
      <c r="E246" s="23" t="s">
        <v>1395</v>
      </c>
      <c r="F246" s="23" t="n">
        <v>9</v>
      </c>
      <c r="G246" s="23" t="n">
        <v>2024</v>
      </c>
      <c r="H246" s="23" t="s">
        <v>376</v>
      </c>
      <c r="I246" s="23" t="s">
        <v>278</v>
      </c>
      <c r="J246" s="23" t="s">
        <v>82</v>
      </c>
      <c r="K246" s="23" t="s">
        <v>1178</v>
      </c>
      <c r="L246" s="23" t="s">
        <v>537</v>
      </c>
      <c r="M246" s="23" t="s">
        <v>1396</v>
      </c>
      <c r="N246" s="24" t="s">
        <v>1379</v>
      </c>
      <c r="O246" s="23" t="s">
        <v>17</v>
      </c>
      <c r="P246" s="23" t="s">
        <v>17</v>
      </c>
      <c r="Q246" s="9" t="s">
        <v>44</v>
      </c>
    </row>
    <row r="247" customFormat="false" ht="39.75" hidden="false" customHeight="true" outlineLevel="0" collapsed="false">
      <c r="A247" s="10" t="s">
        <v>16</v>
      </c>
      <c r="B247" s="10" t="n">
        <v>1</v>
      </c>
      <c r="C247" s="23" t="s">
        <v>446</v>
      </c>
      <c r="D247" s="9" t="s">
        <v>307</v>
      </c>
      <c r="E247" s="23" t="s">
        <v>1397</v>
      </c>
      <c r="F247" s="23" t="n">
        <v>29</v>
      </c>
      <c r="G247" s="23" t="n">
        <v>2025</v>
      </c>
      <c r="H247" s="23" t="s">
        <v>314</v>
      </c>
      <c r="I247" s="23" t="s">
        <v>19</v>
      </c>
      <c r="J247" s="23" t="s">
        <v>1398</v>
      </c>
      <c r="K247" s="23" t="s">
        <v>1399</v>
      </c>
      <c r="L247" s="23" t="s">
        <v>25</v>
      </c>
      <c r="M247" s="23" t="s">
        <v>1400</v>
      </c>
      <c r="N247" s="32" t="s">
        <v>1401</v>
      </c>
      <c r="O247" s="9"/>
      <c r="P247" s="9" t="n">
        <v>8900</v>
      </c>
      <c r="Q247" s="9" t="s">
        <v>25</v>
      </c>
    </row>
    <row r="248" customFormat="false" ht="39.75" hidden="false" customHeight="true" outlineLevel="0" collapsed="false">
      <c r="A248" s="10" t="s">
        <v>16</v>
      </c>
      <c r="B248" s="10" t="n">
        <v>1</v>
      </c>
      <c r="C248" s="23" t="s">
        <v>446</v>
      </c>
      <c r="D248" s="9" t="s">
        <v>307</v>
      </c>
      <c r="E248" s="23" t="s">
        <v>1402</v>
      </c>
      <c r="F248" s="23" t="n">
        <v>30</v>
      </c>
      <c r="G248" s="23" t="n">
        <v>2025</v>
      </c>
      <c r="H248" s="23" t="s">
        <v>314</v>
      </c>
      <c r="I248" s="23" t="s">
        <v>19</v>
      </c>
      <c r="J248" s="23" t="s">
        <v>1398</v>
      </c>
      <c r="K248" s="23" t="s">
        <v>1403</v>
      </c>
      <c r="L248" s="23" t="s">
        <v>110</v>
      </c>
      <c r="M248" s="23" t="s">
        <v>1404</v>
      </c>
      <c r="N248" s="32" t="s">
        <v>1405</v>
      </c>
      <c r="O248" s="9"/>
      <c r="P248" s="9" t="n">
        <v>277</v>
      </c>
      <c r="Q248" s="9" t="s">
        <v>110</v>
      </c>
    </row>
    <row r="249" customFormat="false" ht="39.75" hidden="false" customHeight="true" outlineLevel="0" collapsed="false">
      <c r="A249" s="10" t="s">
        <v>16</v>
      </c>
      <c r="B249" s="10" t="n">
        <v>1</v>
      </c>
      <c r="C249" s="23" t="s">
        <v>446</v>
      </c>
      <c r="D249" s="9" t="s">
        <v>307</v>
      </c>
      <c r="E249" s="23" t="s">
        <v>1402</v>
      </c>
      <c r="F249" s="23" t="n">
        <v>31</v>
      </c>
      <c r="G249" s="23" t="n">
        <v>2025</v>
      </c>
      <c r="H249" s="23" t="s">
        <v>314</v>
      </c>
      <c r="I249" s="23" t="s">
        <v>19</v>
      </c>
      <c r="J249" s="23" t="s">
        <v>1406</v>
      </c>
      <c r="K249" s="23" t="s">
        <v>1407</v>
      </c>
      <c r="L249" s="23" t="s">
        <v>110</v>
      </c>
      <c r="M249" s="23" t="s">
        <v>1404</v>
      </c>
      <c r="N249" s="32" t="s">
        <v>1405</v>
      </c>
      <c r="O249" s="9"/>
      <c r="P249" s="9" t="n">
        <v>1300</v>
      </c>
      <c r="Q249" s="9" t="s">
        <v>110</v>
      </c>
    </row>
    <row r="250" customFormat="false" ht="39.75" hidden="false" customHeight="true" outlineLevel="0" collapsed="false">
      <c r="A250" s="5" t="s">
        <v>138</v>
      </c>
      <c r="B250" s="9" t="n">
        <v>15</v>
      </c>
      <c r="C250" s="9" t="s">
        <v>153</v>
      </c>
      <c r="D250" s="9" t="s">
        <v>90</v>
      </c>
      <c r="E250" s="9" t="s">
        <v>1408</v>
      </c>
      <c r="F250" s="9" t="n">
        <v>4</v>
      </c>
      <c r="G250" s="9" t="n">
        <v>2023</v>
      </c>
      <c r="H250" s="9" t="s">
        <v>273</v>
      </c>
      <c r="I250" s="9" t="s">
        <v>128</v>
      </c>
      <c r="J250" s="9" t="s">
        <v>535</v>
      </c>
      <c r="K250" s="9" t="s">
        <v>1409</v>
      </c>
      <c r="L250" s="9" t="s">
        <v>386</v>
      </c>
      <c r="M250" s="9" t="s">
        <v>1410</v>
      </c>
      <c r="N250" s="9" t="s">
        <v>1411</v>
      </c>
      <c r="O250" s="9" t="n">
        <v>20000</v>
      </c>
      <c r="P250" s="9" t="n">
        <v>126.6</v>
      </c>
      <c r="Q250" s="9" t="s">
        <v>286</v>
      </c>
    </row>
    <row r="251" customFormat="false" ht="39.75" hidden="false" customHeight="true" outlineLevel="0" collapsed="false">
      <c r="A251" s="5" t="s">
        <v>138</v>
      </c>
      <c r="B251" s="9" t="n">
        <v>15</v>
      </c>
      <c r="C251" s="9" t="s">
        <v>153</v>
      </c>
      <c r="D251" s="9" t="s">
        <v>90</v>
      </c>
      <c r="E251" s="9" t="s">
        <v>1412</v>
      </c>
      <c r="F251" s="9" t="n">
        <v>5</v>
      </c>
      <c r="G251" s="9" t="n">
        <v>2025</v>
      </c>
      <c r="H251" s="9" t="s">
        <v>1413</v>
      </c>
      <c r="I251" s="9" t="s">
        <v>128</v>
      </c>
      <c r="J251" s="9" t="s">
        <v>535</v>
      </c>
      <c r="K251" s="9" t="s">
        <v>1414</v>
      </c>
      <c r="L251" s="9" t="s">
        <v>1415</v>
      </c>
      <c r="M251" s="9" t="s">
        <v>1416</v>
      </c>
      <c r="N251" s="32" t="s">
        <v>1417</v>
      </c>
      <c r="O251" s="9" t="n">
        <v>1000000</v>
      </c>
      <c r="P251" s="9" t="n">
        <v>6329</v>
      </c>
      <c r="Q251" s="9" t="s">
        <v>25</v>
      </c>
    </row>
    <row r="252" customFormat="false" ht="39.75" hidden="false" customHeight="true" outlineLevel="0" collapsed="false">
      <c r="A252" s="5" t="s">
        <v>147</v>
      </c>
      <c r="B252" s="9" t="n">
        <v>16</v>
      </c>
      <c r="C252" s="9" t="s">
        <v>17</v>
      </c>
      <c r="D252" s="9" t="s">
        <v>17</v>
      </c>
      <c r="E252" s="9" t="s">
        <v>1418</v>
      </c>
      <c r="F252" s="9" t="n">
        <v>5</v>
      </c>
      <c r="G252" s="9" t="n">
        <v>2023</v>
      </c>
      <c r="H252" s="9" t="s">
        <v>230</v>
      </c>
      <c r="I252" s="9" t="s">
        <v>128</v>
      </c>
      <c r="J252" s="9" t="s">
        <v>66</v>
      </c>
      <c r="K252" s="9" t="s">
        <v>1419</v>
      </c>
      <c r="L252" s="9" t="s">
        <v>25</v>
      </c>
      <c r="M252" s="9" t="s">
        <v>1420</v>
      </c>
      <c r="N252" s="32" t="s">
        <v>1421</v>
      </c>
      <c r="O252" s="9" t="n">
        <v>15900</v>
      </c>
      <c r="P252" s="9" t="n">
        <v>100.6</v>
      </c>
      <c r="Q252" s="9" t="s">
        <v>25</v>
      </c>
    </row>
    <row r="253" customFormat="false" ht="39.75" hidden="false" customHeight="true" outlineLevel="0" collapsed="false">
      <c r="A253" s="5" t="s">
        <v>147</v>
      </c>
      <c r="B253" s="5" t="n">
        <v>16</v>
      </c>
      <c r="C253" s="5" t="s">
        <v>17</v>
      </c>
      <c r="D253" s="5" t="s">
        <v>17</v>
      </c>
      <c r="E253" s="5" t="s">
        <v>1422</v>
      </c>
      <c r="F253" s="5" t="n">
        <v>6</v>
      </c>
      <c r="G253" s="5" t="n">
        <v>2023</v>
      </c>
      <c r="H253" s="5" t="s">
        <v>1184</v>
      </c>
      <c r="I253" s="5" t="s">
        <v>128</v>
      </c>
      <c r="J253" s="5" t="s">
        <v>66</v>
      </c>
      <c r="K253" s="5" t="s">
        <v>1423</v>
      </c>
      <c r="L253" s="5" t="s">
        <v>286</v>
      </c>
      <c r="M253" s="5" t="s">
        <v>1424</v>
      </c>
      <c r="N253" s="5" t="s">
        <v>1425</v>
      </c>
      <c r="O253" s="5" t="n">
        <v>40500</v>
      </c>
      <c r="P253" s="5" t="n">
        <v>300</v>
      </c>
      <c r="Q253" s="5" t="s">
        <v>286</v>
      </c>
    </row>
    <row r="254" customFormat="false" ht="39.75" hidden="false" customHeight="true" outlineLevel="0" collapsed="false">
      <c r="A254" s="5" t="s">
        <v>147</v>
      </c>
      <c r="B254" s="5" t="n">
        <v>16</v>
      </c>
      <c r="C254" s="5" t="s">
        <v>17</v>
      </c>
      <c r="D254" s="5" t="s">
        <v>17</v>
      </c>
      <c r="E254" s="5" t="s">
        <v>1426</v>
      </c>
      <c r="F254" s="5" t="n">
        <v>7</v>
      </c>
      <c r="G254" s="5" t="n">
        <v>2023</v>
      </c>
      <c r="H254" s="5" t="s">
        <v>114</v>
      </c>
      <c r="I254" s="5" t="s">
        <v>128</v>
      </c>
      <c r="J254" s="5" t="s">
        <v>66</v>
      </c>
      <c r="K254" s="5" t="s">
        <v>1427</v>
      </c>
      <c r="L254" s="5" t="s">
        <v>110</v>
      </c>
      <c r="M254" s="5" t="s">
        <v>1428</v>
      </c>
      <c r="N254" s="5" t="s">
        <v>1429</v>
      </c>
      <c r="O254" s="5" t="n">
        <v>75000</v>
      </c>
      <c r="P254" s="5" t="n">
        <v>555</v>
      </c>
      <c r="Q254" s="5" t="s">
        <v>110</v>
      </c>
    </row>
    <row r="255" customFormat="false" ht="39.75" hidden="false" customHeight="true" outlineLevel="0" collapsed="false">
      <c r="A255" s="5" t="s">
        <v>147</v>
      </c>
      <c r="B255" s="5" t="n">
        <v>16</v>
      </c>
      <c r="C255" s="5" t="s">
        <v>17</v>
      </c>
      <c r="D255" s="5" t="s">
        <v>17</v>
      </c>
      <c r="E255" s="5" t="s">
        <v>1430</v>
      </c>
      <c r="F255" s="5" t="n">
        <v>8</v>
      </c>
      <c r="G255" s="5" t="n">
        <v>2023</v>
      </c>
      <c r="H255" s="5" t="s">
        <v>18</v>
      </c>
      <c r="I255" s="5" t="s">
        <v>128</v>
      </c>
      <c r="J255" s="5" t="s">
        <v>66</v>
      </c>
      <c r="K255" s="5" t="s">
        <v>1431</v>
      </c>
      <c r="L255" s="5" t="s">
        <v>38</v>
      </c>
      <c r="M255" s="5" t="s">
        <v>1432</v>
      </c>
      <c r="N255" s="5" t="s">
        <v>152</v>
      </c>
      <c r="O255" s="5" t="n">
        <v>11100</v>
      </c>
      <c r="P255" s="5" t="n">
        <v>82</v>
      </c>
      <c r="Q255" s="5" t="s">
        <v>38</v>
      </c>
    </row>
    <row r="256" customFormat="false" ht="39.75" hidden="false" customHeight="true" outlineLevel="0" collapsed="false">
      <c r="A256" s="5" t="s">
        <v>147</v>
      </c>
      <c r="B256" s="5" t="n">
        <v>16</v>
      </c>
      <c r="C256" s="5" t="s">
        <v>17</v>
      </c>
      <c r="D256" s="5" t="s">
        <v>17</v>
      </c>
      <c r="E256" s="5" t="s">
        <v>1433</v>
      </c>
      <c r="F256" s="5" t="n">
        <v>9</v>
      </c>
      <c r="G256" s="5" t="n">
        <v>2023</v>
      </c>
      <c r="H256" s="5" t="s">
        <v>1184</v>
      </c>
      <c r="I256" s="5" t="s">
        <v>128</v>
      </c>
      <c r="J256" s="5" t="s">
        <v>66</v>
      </c>
      <c r="K256" s="5" t="s">
        <v>1434</v>
      </c>
      <c r="L256" s="5" t="s">
        <v>110</v>
      </c>
      <c r="M256" s="5" t="s">
        <v>1435</v>
      </c>
      <c r="N256" s="5" t="s">
        <v>152</v>
      </c>
      <c r="O256" s="5" t="n">
        <v>11400</v>
      </c>
      <c r="P256" s="5" t="n">
        <v>76.3</v>
      </c>
      <c r="Q256" s="5" t="s">
        <v>110</v>
      </c>
    </row>
    <row r="257" customFormat="false" ht="39.75" hidden="false" customHeight="true" outlineLevel="0" collapsed="false">
      <c r="A257" s="5" t="s">
        <v>147</v>
      </c>
      <c r="B257" s="5" t="n">
        <v>16</v>
      </c>
      <c r="C257" s="5" t="s">
        <v>17</v>
      </c>
      <c r="D257" s="5" t="s">
        <v>17</v>
      </c>
      <c r="E257" s="5" t="s">
        <v>1436</v>
      </c>
      <c r="F257" s="5" t="n">
        <v>10</v>
      </c>
      <c r="G257" s="5" t="n">
        <v>2023</v>
      </c>
      <c r="H257" s="5" t="s">
        <v>1184</v>
      </c>
      <c r="I257" s="5" t="s">
        <v>128</v>
      </c>
      <c r="J257" s="5" t="s">
        <v>66</v>
      </c>
      <c r="K257" s="5" t="s">
        <v>1437</v>
      </c>
      <c r="L257" s="5" t="s">
        <v>110</v>
      </c>
      <c r="M257" s="5" t="s">
        <v>1438</v>
      </c>
      <c r="N257" s="5" t="s">
        <v>152</v>
      </c>
      <c r="O257" s="5" t="n">
        <v>11000</v>
      </c>
      <c r="P257" s="5" t="n">
        <v>74.1</v>
      </c>
      <c r="Q257" s="5" t="s">
        <v>110</v>
      </c>
    </row>
    <row r="258" customFormat="false" ht="39.75" hidden="false" customHeight="true" outlineLevel="0" collapsed="false">
      <c r="A258" s="5" t="s">
        <v>147</v>
      </c>
      <c r="B258" s="5" t="n">
        <v>16</v>
      </c>
      <c r="C258" s="5" t="s">
        <v>17</v>
      </c>
      <c r="D258" s="5" t="s">
        <v>17</v>
      </c>
      <c r="E258" s="5" t="s">
        <v>1439</v>
      </c>
      <c r="F258" s="5" t="n">
        <v>11</v>
      </c>
      <c r="G258" s="5" t="n">
        <v>2023</v>
      </c>
      <c r="H258" s="5" t="s">
        <v>1184</v>
      </c>
      <c r="I258" s="5" t="s">
        <v>128</v>
      </c>
      <c r="J258" s="5" t="s">
        <v>66</v>
      </c>
      <c r="K258" s="5" t="s">
        <v>1440</v>
      </c>
      <c r="L258" s="5" t="s">
        <v>286</v>
      </c>
      <c r="M258" s="5" t="s">
        <v>1441</v>
      </c>
      <c r="N258" s="5" t="s">
        <v>152</v>
      </c>
      <c r="O258" s="5" t="n">
        <v>19800</v>
      </c>
      <c r="P258" s="5" t="n">
        <v>132</v>
      </c>
      <c r="Q258" s="5" t="s">
        <v>286</v>
      </c>
    </row>
    <row r="259" customFormat="false" ht="39.75" hidden="false" customHeight="true" outlineLevel="0" collapsed="false">
      <c r="A259" s="5" t="s">
        <v>147</v>
      </c>
      <c r="B259" s="5" t="n">
        <v>16</v>
      </c>
      <c r="C259" s="5" t="s">
        <v>17</v>
      </c>
      <c r="D259" s="5" t="s">
        <v>17</v>
      </c>
      <c r="E259" s="5" t="s">
        <v>1442</v>
      </c>
      <c r="F259" s="5" t="n">
        <v>12</v>
      </c>
      <c r="G259" s="5" t="n">
        <v>2023</v>
      </c>
      <c r="H259" s="5" t="s">
        <v>1184</v>
      </c>
      <c r="I259" s="5" t="s">
        <v>128</v>
      </c>
      <c r="J259" s="5" t="s">
        <v>66</v>
      </c>
      <c r="K259" s="5" t="s">
        <v>1443</v>
      </c>
      <c r="L259" s="5" t="s">
        <v>110</v>
      </c>
      <c r="M259" s="5" t="s">
        <v>1444</v>
      </c>
      <c r="N259" s="5" t="s">
        <v>152</v>
      </c>
      <c r="O259" s="5" t="n">
        <v>30000</v>
      </c>
      <c r="P259" s="5" t="n">
        <v>199</v>
      </c>
      <c r="Q259" s="5" t="s">
        <v>110</v>
      </c>
    </row>
    <row r="260" customFormat="false" ht="39.75" hidden="false" customHeight="true" outlineLevel="0" collapsed="false">
      <c r="A260" s="5" t="s">
        <v>147</v>
      </c>
      <c r="B260" s="5" t="n">
        <v>16</v>
      </c>
      <c r="C260" s="5" t="s">
        <v>17</v>
      </c>
      <c r="D260" s="5" t="s">
        <v>17</v>
      </c>
      <c r="E260" s="5" t="s">
        <v>1445</v>
      </c>
      <c r="F260" s="5" t="n">
        <v>13</v>
      </c>
      <c r="G260" s="5" t="n">
        <v>2024</v>
      </c>
      <c r="H260" s="5" t="s">
        <v>643</v>
      </c>
      <c r="I260" s="5" t="s">
        <v>128</v>
      </c>
      <c r="J260" s="5" t="s">
        <v>66</v>
      </c>
      <c r="K260" s="5" t="s">
        <v>1446</v>
      </c>
      <c r="L260" s="5" t="s">
        <v>38</v>
      </c>
      <c r="M260" s="5" t="s">
        <v>1447</v>
      </c>
      <c r="N260" s="5" t="s">
        <v>1448</v>
      </c>
      <c r="O260" s="5" t="n">
        <v>900</v>
      </c>
      <c r="P260" s="5" t="n">
        <v>6</v>
      </c>
      <c r="Q260" s="5" t="s">
        <v>38</v>
      </c>
    </row>
    <row r="261" customFormat="false" ht="39.75" hidden="false" customHeight="true" outlineLevel="0" collapsed="false">
      <c r="A261" s="5" t="s">
        <v>147</v>
      </c>
      <c r="B261" s="5" t="n">
        <v>16</v>
      </c>
      <c r="C261" s="5" t="s">
        <v>17</v>
      </c>
      <c r="D261" s="5" t="s">
        <v>17</v>
      </c>
      <c r="E261" s="5" t="s">
        <v>1449</v>
      </c>
      <c r="F261" s="5" t="n">
        <v>14</v>
      </c>
      <c r="G261" s="5" t="n">
        <v>2024</v>
      </c>
      <c r="H261" s="5" t="s">
        <v>643</v>
      </c>
      <c r="I261" s="5" t="s">
        <v>128</v>
      </c>
      <c r="J261" s="5" t="s">
        <v>66</v>
      </c>
      <c r="K261" s="5" t="s">
        <v>1450</v>
      </c>
      <c r="L261" s="5" t="s">
        <v>110</v>
      </c>
      <c r="M261" s="5" t="s">
        <v>1451</v>
      </c>
      <c r="N261" s="5" t="s">
        <v>1448</v>
      </c>
      <c r="O261" s="5" t="n">
        <v>1400</v>
      </c>
      <c r="P261" s="5" t="n">
        <v>9</v>
      </c>
      <c r="Q261" s="5" t="s">
        <v>110</v>
      </c>
    </row>
    <row r="262" customFormat="false" ht="39.75" hidden="false" customHeight="true" outlineLevel="0" collapsed="false">
      <c r="A262" s="5" t="s">
        <v>147</v>
      </c>
      <c r="B262" s="5" t="n">
        <v>16</v>
      </c>
      <c r="C262" s="5" t="s">
        <v>17</v>
      </c>
      <c r="D262" s="5" t="s">
        <v>17</v>
      </c>
      <c r="E262" s="5" t="s">
        <v>1452</v>
      </c>
      <c r="F262" s="5" t="n">
        <v>15</v>
      </c>
      <c r="G262" s="5" t="n">
        <v>2024</v>
      </c>
      <c r="H262" s="5" t="s">
        <v>273</v>
      </c>
      <c r="I262" s="5" t="s">
        <v>128</v>
      </c>
      <c r="J262" s="5" t="s">
        <v>66</v>
      </c>
      <c r="K262" s="5" t="s">
        <v>1453</v>
      </c>
      <c r="L262" s="5" t="s">
        <v>110</v>
      </c>
      <c r="M262" s="5" t="s">
        <v>1454</v>
      </c>
      <c r="N262" s="5" t="s">
        <v>1448</v>
      </c>
      <c r="O262" s="5" t="n">
        <v>3700</v>
      </c>
      <c r="P262" s="5" t="n">
        <v>24</v>
      </c>
      <c r="Q262" s="5" t="s">
        <v>110</v>
      </c>
    </row>
    <row r="263" customFormat="false" ht="39.75" hidden="false" customHeight="true" outlineLevel="0" collapsed="false">
      <c r="A263" s="5" t="s">
        <v>147</v>
      </c>
      <c r="B263" s="5" t="n">
        <v>16</v>
      </c>
      <c r="C263" s="5" t="s">
        <v>17</v>
      </c>
      <c r="D263" s="5" t="s">
        <v>17</v>
      </c>
      <c r="E263" s="5" t="s">
        <v>1455</v>
      </c>
      <c r="F263" s="5" t="n">
        <v>16</v>
      </c>
      <c r="G263" s="5" t="n">
        <v>2024</v>
      </c>
      <c r="H263" s="5" t="s">
        <v>273</v>
      </c>
      <c r="I263" s="5" t="s">
        <v>128</v>
      </c>
      <c r="J263" s="5" t="s">
        <v>66</v>
      </c>
      <c r="K263" s="5" t="s">
        <v>1456</v>
      </c>
      <c r="L263" s="5" t="s">
        <v>110</v>
      </c>
      <c r="M263" s="5" t="s">
        <v>1457</v>
      </c>
      <c r="N263" s="5" t="s">
        <v>1448</v>
      </c>
      <c r="O263" s="5" t="n">
        <v>8000</v>
      </c>
      <c r="P263" s="5" t="n">
        <v>53</v>
      </c>
      <c r="Q263" s="5" t="s">
        <v>110</v>
      </c>
    </row>
    <row r="264" customFormat="false" ht="39.75" hidden="false" customHeight="true" outlineLevel="0" collapsed="false">
      <c r="A264" s="5" t="s">
        <v>147</v>
      </c>
      <c r="B264" s="5" t="n">
        <v>16</v>
      </c>
      <c r="C264" s="5" t="s">
        <v>17</v>
      </c>
      <c r="D264" s="5" t="s">
        <v>17</v>
      </c>
      <c r="E264" s="5" t="s">
        <v>1458</v>
      </c>
      <c r="F264" s="5" t="n">
        <v>17</v>
      </c>
      <c r="G264" s="5" t="n">
        <v>2024</v>
      </c>
      <c r="H264" s="5" t="s">
        <v>643</v>
      </c>
      <c r="I264" s="5" t="s">
        <v>128</v>
      </c>
      <c r="J264" s="5" t="s">
        <v>66</v>
      </c>
      <c r="K264" s="5" t="s">
        <v>1459</v>
      </c>
      <c r="L264" s="5" t="s">
        <v>44</v>
      </c>
      <c r="M264" s="5" t="s">
        <v>1460</v>
      </c>
      <c r="N264" s="5" t="s">
        <v>1448</v>
      </c>
      <c r="O264" s="5" t="n">
        <v>4400</v>
      </c>
      <c r="P264" s="5" t="n">
        <v>29</v>
      </c>
      <c r="Q264" s="5" t="s">
        <v>44</v>
      </c>
    </row>
    <row r="265" customFormat="false" ht="39.75" hidden="false" customHeight="true" outlineLevel="0" collapsed="false">
      <c r="A265" s="5" t="s">
        <v>147</v>
      </c>
      <c r="B265" s="5" t="n">
        <v>16</v>
      </c>
      <c r="C265" s="5" t="s">
        <v>17</v>
      </c>
      <c r="D265" s="5" t="s">
        <v>17</v>
      </c>
      <c r="E265" s="5" t="s">
        <v>1461</v>
      </c>
      <c r="F265" s="5" t="n">
        <v>18</v>
      </c>
      <c r="G265" s="5" t="n">
        <v>2025</v>
      </c>
      <c r="H265" s="5" t="s">
        <v>289</v>
      </c>
      <c r="I265" s="5" t="s">
        <v>128</v>
      </c>
      <c r="J265" s="5" t="s">
        <v>66</v>
      </c>
      <c r="K265" s="5" t="s">
        <v>1462</v>
      </c>
      <c r="L265" s="5" t="s">
        <v>110</v>
      </c>
      <c r="M265" s="5" t="s">
        <v>1463</v>
      </c>
      <c r="N265" s="5" t="s">
        <v>1464</v>
      </c>
      <c r="O265" s="5" t="n">
        <v>2200</v>
      </c>
      <c r="P265" s="5" t="n">
        <v>15</v>
      </c>
      <c r="Q265" s="5" t="s">
        <v>110</v>
      </c>
    </row>
    <row r="266" customFormat="false" ht="39.75" hidden="false" customHeight="true" outlineLevel="0" collapsed="false">
      <c r="A266" s="5" t="s">
        <v>147</v>
      </c>
      <c r="B266" s="5" t="n">
        <v>16</v>
      </c>
      <c r="C266" s="5" t="s">
        <v>17</v>
      </c>
      <c r="D266" s="5" t="s">
        <v>17</v>
      </c>
      <c r="E266" s="5" t="s">
        <v>1465</v>
      </c>
      <c r="F266" s="5" t="n">
        <v>19</v>
      </c>
      <c r="G266" s="5" t="n">
        <v>2026</v>
      </c>
      <c r="H266" s="5" t="s">
        <v>1466</v>
      </c>
      <c r="I266" s="5" t="s">
        <v>128</v>
      </c>
      <c r="J266" s="5" t="s">
        <v>66</v>
      </c>
      <c r="K266" s="5" t="s">
        <v>1467</v>
      </c>
      <c r="L266" s="5" t="s">
        <v>25</v>
      </c>
      <c r="M266" s="5" t="s">
        <v>1468</v>
      </c>
      <c r="N266" s="5" t="s">
        <v>1469</v>
      </c>
      <c r="O266" s="5" t="n">
        <v>60000</v>
      </c>
      <c r="P266" s="5" t="n">
        <v>400</v>
      </c>
      <c r="Q266" s="5" t="s">
        <v>25</v>
      </c>
    </row>
    <row r="267" customFormat="false" ht="39.75" hidden="false" customHeight="true" outlineLevel="0" collapsed="false">
      <c r="A267" s="5" t="s">
        <v>276</v>
      </c>
      <c r="B267" s="5" t="n">
        <v>40</v>
      </c>
      <c r="C267" s="5" t="s">
        <v>17</v>
      </c>
      <c r="D267" s="5" t="s">
        <v>17</v>
      </c>
      <c r="E267" s="5" t="s">
        <v>1470</v>
      </c>
      <c r="F267" s="5" t="n">
        <v>10</v>
      </c>
      <c r="G267" s="5" t="n">
        <v>2025</v>
      </c>
      <c r="H267" s="5" t="s">
        <v>314</v>
      </c>
      <c r="I267" s="5" t="s">
        <v>278</v>
      </c>
      <c r="J267" s="5" t="s">
        <v>66</v>
      </c>
      <c r="K267" s="5" t="s">
        <v>1471</v>
      </c>
      <c r="L267" s="5" t="s">
        <v>377</v>
      </c>
      <c r="M267" s="5" t="s">
        <v>1472</v>
      </c>
      <c r="N267" s="5" t="s">
        <v>1473</v>
      </c>
      <c r="O267" s="5" t="n">
        <v>550</v>
      </c>
      <c r="P267" s="5" t="n">
        <v>117</v>
      </c>
      <c r="Q267" s="5" t="s">
        <v>44</v>
      </c>
    </row>
    <row r="268" customFormat="false" ht="39.75" hidden="false" customHeight="true" outlineLevel="0" collapsed="false">
      <c r="A268" s="5" t="s">
        <v>276</v>
      </c>
      <c r="B268" s="5" t="n">
        <v>40</v>
      </c>
      <c r="C268" s="5" t="s">
        <v>17</v>
      </c>
      <c r="D268" s="5" t="s">
        <v>17</v>
      </c>
      <c r="E268" s="5" t="s">
        <v>1474</v>
      </c>
      <c r="F268" s="5" t="n">
        <v>11</v>
      </c>
      <c r="G268" s="5" t="n">
        <v>2025</v>
      </c>
      <c r="H268" s="5" t="s">
        <v>320</v>
      </c>
      <c r="I268" s="5" t="s">
        <v>278</v>
      </c>
      <c r="J268" s="5" t="s">
        <v>66</v>
      </c>
      <c r="K268" s="5" t="s">
        <v>1475</v>
      </c>
      <c r="L268" s="5" t="s">
        <v>537</v>
      </c>
      <c r="M268" s="5" t="s">
        <v>1476</v>
      </c>
      <c r="N268" s="5" t="s">
        <v>1477</v>
      </c>
      <c r="O268" s="5" t="n">
        <v>500</v>
      </c>
      <c r="P268" s="5" t="n">
        <v>106</v>
      </c>
      <c r="Q268" s="5" t="s">
        <v>44</v>
      </c>
    </row>
    <row r="269" customFormat="false" ht="39.75" hidden="false" customHeight="true" outlineLevel="0" collapsed="false">
      <c r="A269" s="5" t="s">
        <v>276</v>
      </c>
      <c r="B269" s="5" t="n">
        <v>40</v>
      </c>
      <c r="C269" s="5" t="s">
        <v>17</v>
      </c>
      <c r="D269" s="5" t="s">
        <v>17</v>
      </c>
      <c r="E269" s="5" t="s">
        <v>1478</v>
      </c>
      <c r="F269" s="5" t="n">
        <v>12</v>
      </c>
      <c r="G269" s="5" t="n">
        <v>2025</v>
      </c>
      <c r="H269" s="5" t="s">
        <v>675</v>
      </c>
      <c r="I269" s="5" t="s">
        <v>278</v>
      </c>
      <c r="J269" s="5" t="s">
        <v>66</v>
      </c>
      <c r="K269" s="5" t="s">
        <v>1479</v>
      </c>
      <c r="L269" s="5" t="s">
        <v>286</v>
      </c>
      <c r="M269" s="5" t="s">
        <v>1480</v>
      </c>
      <c r="N269" s="5" t="s">
        <v>1481</v>
      </c>
      <c r="O269" s="5" t="n">
        <v>90</v>
      </c>
      <c r="P269" s="5" t="n">
        <v>19</v>
      </c>
      <c r="Q269" s="5" t="s">
        <v>286</v>
      </c>
    </row>
    <row r="270" customFormat="false" ht="39.75" hidden="false" customHeight="true" outlineLevel="0" collapsed="false">
      <c r="A270" s="5" t="s">
        <v>276</v>
      </c>
      <c r="B270" s="5" t="n">
        <v>40</v>
      </c>
      <c r="C270" s="5" t="s">
        <v>17</v>
      </c>
      <c r="D270" s="5" t="s">
        <v>17</v>
      </c>
      <c r="E270" s="5" t="s">
        <v>1482</v>
      </c>
      <c r="F270" s="5" t="n">
        <v>13</v>
      </c>
      <c r="G270" s="5" t="n">
        <v>2025</v>
      </c>
      <c r="H270" s="5" t="s">
        <v>675</v>
      </c>
      <c r="I270" s="5" t="s">
        <v>278</v>
      </c>
      <c r="J270" s="5" t="s">
        <v>66</v>
      </c>
      <c r="K270" s="5" t="s">
        <v>1483</v>
      </c>
      <c r="L270" s="5" t="s">
        <v>25</v>
      </c>
      <c r="M270" s="5" t="s">
        <v>1484</v>
      </c>
      <c r="N270" s="5" t="s">
        <v>1485</v>
      </c>
      <c r="O270" s="5" t="n">
        <v>3000</v>
      </c>
      <c r="P270" s="5" t="n">
        <v>637</v>
      </c>
      <c r="Q270" s="5" t="s">
        <v>25</v>
      </c>
    </row>
    <row r="271" customFormat="false" ht="39.75" hidden="false" customHeight="true" outlineLevel="0" collapsed="false">
      <c r="A271" s="10" t="s">
        <v>16</v>
      </c>
      <c r="B271" s="23" t="n">
        <v>1</v>
      </c>
      <c r="C271" s="23" t="s">
        <v>446</v>
      </c>
      <c r="D271" s="23" t="s">
        <v>307</v>
      </c>
      <c r="E271" s="23" t="s">
        <v>1486</v>
      </c>
      <c r="F271" s="23" t="n">
        <v>32</v>
      </c>
      <c r="G271" s="23" t="n">
        <v>2025</v>
      </c>
      <c r="H271" s="23" t="s">
        <v>675</v>
      </c>
      <c r="I271" s="23" t="s">
        <v>19</v>
      </c>
      <c r="J271" s="23" t="s">
        <v>66</v>
      </c>
      <c r="K271" s="23" t="s">
        <v>1487</v>
      </c>
      <c r="L271" s="23" t="s">
        <v>110</v>
      </c>
      <c r="M271" s="23" t="s">
        <v>1488</v>
      </c>
      <c r="N271" s="32" t="s">
        <v>1489</v>
      </c>
      <c r="O271" s="37" t="n">
        <v>210</v>
      </c>
      <c r="P271" s="37" t="n">
        <v>210</v>
      </c>
      <c r="Q271" s="23" t="s">
        <v>110</v>
      </c>
    </row>
    <row r="272" customFormat="false" ht="39.75" hidden="false" customHeight="true" outlineLevel="0" collapsed="false">
      <c r="A272" s="10" t="s">
        <v>64</v>
      </c>
      <c r="B272" s="23" t="n">
        <v>6</v>
      </c>
      <c r="C272" s="23" t="s">
        <v>480</v>
      </c>
      <c r="D272" s="23" t="s">
        <v>28</v>
      </c>
      <c r="E272" s="23" t="s">
        <v>1490</v>
      </c>
      <c r="F272" s="23" t="n">
        <v>12</v>
      </c>
      <c r="G272" s="23" t="n">
        <v>2026</v>
      </c>
      <c r="H272" s="23" t="s">
        <v>1491</v>
      </c>
      <c r="I272" s="23" t="s">
        <v>19</v>
      </c>
      <c r="J272" s="23" t="s">
        <v>535</v>
      </c>
      <c r="K272" s="23" t="s">
        <v>1492</v>
      </c>
      <c r="L272" s="23" t="s">
        <v>1299</v>
      </c>
      <c r="M272" s="23" t="s">
        <v>1493</v>
      </c>
      <c r="N272" s="32" t="s">
        <v>1494</v>
      </c>
      <c r="O272" s="37" t="n">
        <v>14.1</v>
      </c>
      <c r="P272" s="37" t="n">
        <v>14.1</v>
      </c>
      <c r="Q272" s="23" t="s">
        <v>25</v>
      </c>
    </row>
    <row r="273" customFormat="false" ht="39.75" hidden="false" customHeight="true" outlineLevel="0" collapsed="false">
      <c r="A273" s="10" t="s">
        <v>64</v>
      </c>
      <c r="B273" s="23" t="n">
        <v>6</v>
      </c>
      <c r="C273" s="23" t="s">
        <v>480</v>
      </c>
      <c r="D273" s="23" t="s">
        <v>28</v>
      </c>
      <c r="E273" s="23" t="s">
        <v>1495</v>
      </c>
      <c r="F273" s="23" t="n">
        <v>13</v>
      </c>
      <c r="G273" s="23" t="n">
        <v>2026</v>
      </c>
      <c r="H273" s="23" t="s">
        <v>1413</v>
      </c>
      <c r="I273" s="23" t="s">
        <v>19</v>
      </c>
      <c r="J273" s="23" t="s">
        <v>535</v>
      </c>
      <c r="K273" s="23" t="s">
        <v>1496</v>
      </c>
      <c r="L273" s="23" t="s">
        <v>44</v>
      </c>
      <c r="M273" s="23" t="s">
        <v>1497</v>
      </c>
      <c r="N273" s="32" t="s">
        <v>1498</v>
      </c>
      <c r="O273" s="37" t="n">
        <v>4.16</v>
      </c>
      <c r="P273" s="37" t="n">
        <v>4.16</v>
      </c>
      <c r="Q273" s="23" t="s">
        <v>44</v>
      </c>
    </row>
    <row r="274" customFormat="false" ht="39.75" hidden="false" customHeight="true" outlineLevel="0" collapsed="false">
      <c r="A274" s="10" t="s">
        <v>64</v>
      </c>
      <c r="B274" s="23" t="n">
        <v>6</v>
      </c>
      <c r="C274" s="23" t="s">
        <v>480</v>
      </c>
      <c r="D274" s="23" t="s">
        <v>28</v>
      </c>
      <c r="E274" s="23" t="s">
        <v>1499</v>
      </c>
      <c r="F274" s="23" t="n">
        <v>14</v>
      </c>
      <c r="G274" s="23" t="n">
        <v>2026</v>
      </c>
      <c r="H274" s="23" t="s">
        <v>1466</v>
      </c>
      <c r="I274" s="23" t="s">
        <v>19</v>
      </c>
      <c r="J274" s="23" t="s">
        <v>535</v>
      </c>
      <c r="K274" s="23" t="s">
        <v>1500</v>
      </c>
      <c r="L274" s="23" t="s">
        <v>119</v>
      </c>
      <c r="M274" s="23" t="s">
        <v>1501</v>
      </c>
      <c r="N274" s="32" t="s">
        <v>1502</v>
      </c>
      <c r="O274" s="37" t="n">
        <v>13</v>
      </c>
      <c r="P274" s="37" t="n">
        <v>13</v>
      </c>
      <c r="Q274" s="23" t="s">
        <v>119</v>
      </c>
    </row>
    <row r="275" customFormat="false" ht="39.75" hidden="false" customHeight="true" outlineLevel="0" collapsed="false">
      <c r="A275" s="5" t="s">
        <v>16</v>
      </c>
      <c r="B275" s="9" t="n">
        <v>1</v>
      </c>
      <c r="C275" s="9" t="s">
        <v>446</v>
      </c>
      <c r="D275" s="9" t="s">
        <v>307</v>
      </c>
      <c r="E275" s="9" t="s">
        <v>1503</v>
      </c>
      <c r="F275" s="9" t="n">
        <v>33</v>
      </c>
      <c r="G275" s="9" t="n">
        <v>2025</v>
      </c>
      <c r="H275" s="9" t="s">
        <v>675</v>
      </c>
      <c r="I275" s="9" t="s">
        <v>19</v>
      </c>
      <c r="J275" s="9" t="s">
        <v>1504</v>
      </c>
      <c r="K275" s="9" t="s">
        <v>1505</v>
      </c>
      <c r="L275" s="9" t="s">
        <v>803</v>
      </c>
      <c r="M275" s="9" t="s">
        <v>1506</v>
      </c>
      <c r="N275" s="9" t="s">
        <v>1507</v>
      </c>
      <c r="O275" s="9" t="n">
        <v>70</v>
      </c>
      <c r="P275" s="9" t="n">
        <v>70</v>
      </c>
      <c r="Q275" s="9" t="s">
        <v>25</v>
      </c>
    </row>
    <row r="276" customFormat="false" ht="39.75" hidden="false" customHeight="true" outlineLevel="0" collapsed="false">
      <c r="A276" s="5" t="s">
        <v>16</v>
      </c>
      <c r="B276" s="9" t="n">
        <v>1</v>
      </c>
      <c r="C276" s="9" t="s">
        <v>446</v>
      </c>
      <c r="D276" s="9" t="s">
        <v>307</v>
      </c>
      <c r="E276" s="9" t="s">
        <v>1508</v>
      </c>
      <c r="F276" s="9" t="n">
        <v>34</v>
      </c>
      <c r="G276" s="9" t="n">
        <v>2025</v>
      </c>
      <c r="H276" s="9" t="s">
        <v>675</v>
      </c>
      <c r="I276" s="9" t="s">
        <v>19</v>
      </c>
      <c r="J276" s="9" t="s">
        <v>1504</v>
      </c>
      <c r="K276" s="9" t="s">
        <v>1509</v>
      </c>
      <c r="L276" s="9" t="s">
        <v>1062</v>
      </c>
      <c r="M276" s="9" t="s">
        <v>1510</v>
      </c>
      <c r="N276" s="9" t="s">
        <v>1511</v>
      </c>
      <c r="O276" s="9" t="n">
        <v>105</v>
      </c>
      <c r="P276" s="9" t="n">
        <v>105</v>
      </c>
      <c r="Q276" s="9" t="s">
        <v>119</v>
      </c>
    </row>
    <row r="277" customFormat="false" ht="39.75" hidden="false" customHeight="true" outlineLevel="0" collapsed="false">
      <c r="A277" s="5" t="s">
        <v>16</v>
      </c>
      <c r="B277" s="9" t="n">
        <v>1</v>
      </c>
      <c r="C277" s="9" t="s">
        <v>446</v>
      </c>
      <c r="D277" s="9" t="s">
        <v>307</v>
      </c>
      <c r="E277" s="9" t="s">
        <v>1512</v>
      </c>
      <c r="F277" s="9" t="n">
        <v>35</v>
      </c>
      <c r="G277" s="9" t="n">
        <v>2025</v>
      </c>
      <c r="H277" s="9" t="s">
        <v>675</v>
      </c>
      <c r="I277" s="9" t="s">
        <v>19</v>
      </c>
      <c r="J277" s="9" t="s">
        <v>1504</v>
      </c>
      <c r="K277" s="9" t="s">
        <v>1513</v>
      </c>
      <c r="L277" s="9" t="s">
        <v>1514</v>
      </c>
      <c r="M277" s="9" t="s">
        <v>1515</v>
      </c>
      <c r="N277" s="9" t="s">
        <v>1511</v>
      </c>
      <c r="O277" s="9" t="n">
        <v>79</v>
      </c>
      <c r="P277" s="9" t="n">
        <v>79</v>
      </c>
      <c r="Q277" s="9" t="s">
        <v>110</v>
      </c>
    </row>
    <row r="278" customFormat="false" ht="39.75" hidden="false" customHeight="true" outlineLevel="0" collapsed="false">
      <c r="A278" s="5" t="s">
        <v>16</v>
      </c>
      <c r="B278" s="9" t="n">
        <v>1</v>
      </c>
      <c r="C278" s="9" t="s">
        <v>446</v>
      </c>
      <c r="D278" s="9" t="s">
        <v>307</v>
      </c>
      <c r="E278" s="9" t="s">
        <v>1516</v>
      </c>
      <c r="F278" s="9" t="n">
        <v>36</v>
      </c>
      <c r="G278" s="9" t="n">
        <v>2025</v>
      </c>
      <c r="H278" s="9" t="s">
        <v>675</v>
      </c>
      <c r="I278" s="9" t="s">
        <v>19</v>
      </c>
      <c r="J278" s="9" t="s">
        <v>1504</v>
      </c>
      <c r="K278" s="9" t="s">
        <v>1517</v>
      </c>
      <c r="L278" s="9" t="s">
        <v>1514</v>
      </c>
      <c r="M278" s="9" t="s">
        <v>1518</v>
      </c>
      <c r="N278" s="9" t="s">
        <v>1511</v>
      </c>
      <c r="O278" s="9" t="n">
        <v>10.3</v>
      </c>
      <c r="P278" s="9" t="n">
        <v>10.3</v>
      </c>
      <c r="Q278" s="9" t="s">
        <v>110</v>
      </c>
    </row>
    <row r="279" customFormat="false" ht="39.75" hidden="false" customHeight="true" outlineLevel="0" collapsed="false">
      <c r="A279" s="5" t="s">
        <v>16</v>
      </c>
      <c r="B279" s="9" t="n">
        <v>1</v>
      </c>
      <c r="C279" s="9" t="s">
        <v>446</v>
      </c>
      <c r="D279" s="9" t="s">
        <v>307</v>
      </c>
      <c r="E279" s="9" t="s">
        <v>1519</v>
      </c>
      <c r="F279" s="9" t="n">
        <v>37</v>
      </c>
      <c r="G279" s="9" t="n">
        <v>2025</v>
      </c>
      <c r="H279" s="9" t="s">
        <v>675</v>
      </c>
      <c r="I279" s="9" t="s">
        <v>19</v>
      </c>
      <c r="J279" s="9" t="s">
        <v>1504</v>
      </c>
      <c r="K279" s="9" t="s">
        <v>1520</v>
      </c>
      <c r="L279" s="9" t="s">
        <v>110</v>
      </c>
      <c r="M279" s="9" t="s">
        <v>1521</v>
      </c>
      <c r="N279" s="9" t="s">
        <v>1511</v>
      </c>
      <c r="O279" s="9" t="n">
        <v>52.1</v>
      </c>
      <c r="P279" s="9" t="n">
        <v>52.1</v>
      </c>
      <c r="Q279" s="9" t="s">
        <v>110</v>
      </c>
    </row>
    <row r="280" customFormat="false" ht="39.75" hidden="false" customHeight="true" outlineLevel="0" collapsed="false">
      <c r="A280" s="5" t="s">
        <v>16</v>
      </c>
      <c r="B280" s="9" t="n">
        <v>1</v>
      </c>
      <c r="C280" s="9" t="s">
        <v>446</v>
      </c>
      <c r="D280" s="9" t="s">
        <v>307</v>
      </c>
      <c r="E280" s="9" t="s">
        <v>1522</v>
      </c>
      <c r="F280" s="9" t="n">
        <v>38</v>
      </c>
      <c r="G280" s="9" t="n">
        <v>2025</v>
      </c>
      <c r="H280" s="9" t="s">
        <v>675</v>
      </c>
      <c r="I280" s="9" t="s">
        <v>19</v>
      </c>
      <c r="J280" s="9" t="s">
        <v>66</v>
      </c>
      <c r="K280" s="9" t="s">
        <v>1523</v>
      </c>
      <c r="L280" s="9" t="s">
        <v>1524</v>
      </c>
      <c r="M280" s="9" t="s">
        <v>1525</v>
      </c>
      <c r="N280" s="9" t="s">
        <v>1526</v>
      </c>
      <c r="O280" s="9" t="n">
        <v>275</v>
      </c>
      <c r="P280" s="9" t="n">
        <v>275</v>
      </c>
      <c r="Q280" s="9" t="s">
        <v>25</v>
      </c>
    </row>
    <row r="281" customFormat="false" ht="39.75" hidden="false" customHeight="true" outlineLevel="0" collapsed="false">
      <c r="A281" s="5" t="s">
        <v>16</v>
      </c>
      <c r="B281" s="9" t="n">
        <v>1</v>
      </c>
      <c r="C281" s="9" t="s">
        <v>446</v>
      </c>
      <c r="D281" s="9" t="s">
        <v>307</v>
      </c>
      <c r="E281" s="9" t="s">
        <v>1527</v>
      </c>
      <c r="F281" s="9" t="n">
        <v>39</v>
      </c>
      <c r="G281" s="9" t="n">
        <v>2025</v>
      </c>
      <c r="H281" s="9" t="s">
        <v>675</v>
      </c>
      <c r="I281" s="9" t="s">
        <v>19</v>
      </c>
      <c r="J281" s="9" t="s">
        <v>1528</v>
      </c>
      <c r="K281" s="9" t="s">
        <v>1529</v>
      </c>
      <c r="L281" s="9" t="s">
        <v>35</v>
      </c>
      <c r="M281" s="9" t="s">
        <v>1530</v>
      </c>
      <c r="N281" s="9" t="s">
        <v>1531</v>
      </c>
      <c r="O281" s="9" t="n">
        <v>50</v>
      </c>
      <c r="P281" s="9" t="n">
        <v>50</v>
      </c>
      <c r="Q281" s="9" t="s">
        <v>110</v>
      </c>
    </row>
    <row r="282" customFormat="false" ht="39.75" hidden="false" customHeight="true" outlineLevel="0" collapsed="false">
      <c r="A282" s="5" t="s">
        <v>16</v>
      </c>
      <c r="B282" s="9" t="n">
        <v>1</v>
      </c>
      <c r="C282" s="9" t="s">
        <v>389</v>
      </c>
      <c r="D282" s="9" t="s">
        <v>96</v>
      </c>
      <c r="E282" s="9" t="s">
        <v>1532</v>
      </c>
      <c r="F282" s="9" t="n">
        <v>40</v>
      </c>
      <c r="G282" s="9" t="n">
        <v>2025</v>
      </c>
      <c r="H282" s="9" t="s">
        <v>675</v>
      </c>
      <c r="I282" s="9" t="s">
        <v>19</v>
      </c>
      <c r="J282" s="9" t="s">
        <v>1528</v>
      </c>
      <c r="K282" s="9" t="s">
        <v>1533</v>
      </c>
      <c r="L282" s="9" t="s">
        <v>974</v>
      </c>
      <c r="M282" s="9" t="s">
        <v>1534</v>
      </c>
      <c r="N282" s="9" t="s">
        <v>1535</v>
      </c>
      <c r="O282" s="9" t="n">
        <v>150</v>
      </c>
      <c r="P282" s="9" t="n">
        <v>150</v>
      </c>
      <c r="Q282" s="9" t="s">
        <v>38</v>
      </c>
    </row>
    <row r="283" customFormat="false" ht="39.75" hidden="false" customHeight="true" outlineLevel="0" collapsed="false">
      <c r="A283" s="5" t="s">
        <v>16</v>
      </c>
      <c r="B283" s="9" t="n">
        <v>1</v>
      </c>
      <c r="C283" s="9" t="s">
        <v>446</v>
      </c>
      <c r="D283" s="9" t="s">
        <v>307</v>
      </c>
      <c r="E283" s="9" t="s">
        <v>1536</v>
      </c>
      <c r="F283" s="9" t="n">
        <v>41</v>
      </c>
      <c r="G283" s="9" t="n">
        <v>2026</v>
      </c>
      <c r="H283" s="9" t="s">
        <v>1491</v>
      </c>
      <c r="I283" s="9" t="s">
        <v>19</v>
      </c>
      <c r="J283" s="9" t="s">
        <v>66</v>
      </c>
      <c r="K283" s="9" t="s">
        <v>1537</v>
      </c>
      <c r="L283" s="9" t="s">
        <v>803</v>
      </c>
      <c r="M283" s="9" t="s">
        <v>1538</v>
      </c>
      <c r="N283" s="9" t="s">
        <v>1539</v>
      </c>
      <c r="O283" s="9" t="n">
        <v>50</v>
      </c>
      <c r="P283" s="9" t="n">
        <v>50</v>
      </c>
      <c r="Q283" s="9" t="s">
        <v>25</v>
      </c>
      <c r="R283" s="39"/>
      <c r="S283" s="39"/>
      <c r="T283" s="39"/>
    </row>
    <row r="284" customFormat="false" ht="39.75" hidden="false" customHeight="true" outlineLevel="0" collapsed="false">
      <c r="A284" s="5" t="s">
        <v>16</v>
      </c>
      <c r="B284" s="9" t="n">
        <v>1</v>
      </c>
      <c r="C284" s="9" t="s">
        <v>446</v>
      </c>
      <c r="D284" s="9" t="s">
        <v>307</v>
      </c>
      <c r="E284" s="9" t="s">
        <v>1540</v>
      </c>
      <c r="F284" s="9" t="n">
        <v>42</v>
      </c>
      <c r="G284" s="9" t="n">
        <v>2026</v>
      </c>
      <c r="H284" s="9" t="s">
        <v>665</v>
      </c>
      <c r="I284" s="9" t="s">
        <v>19</v>
      </c>
      <c r="J284" s="9" t="s">
        <v>66</v>
      </c>
      <c r="K284" s="9" t="s">
        <v>1541</v>
      </c>
      <c r="L284" s="9" t="s">
        <v>803</v>
      </c>
      <c r="M284" s="9" t="s">
        <v>1542</v>
      </c>
      <c r="N284" s="9" t="s">
        <v>1543</v>
      </c>
      <c r="O284" s="9" t="n">
        <v>225</v>
      </c>
      <c r="P284" s="9" t="n">
        <v>225</v>
      </c>
      <c r="Q284" s="9" t="s">
        <v>25</v>
      </c>
      <c r="R284" s="39"/>
      <c r="S284" s="39"/>
      <c r="T284" s="39"/>
    </row>
    <row r="285" customFormat="false" ht="39.75" hidden="false" customHeight="true" outlineLevel="0" collapsed="false">
      <c r="A285" s="5" t="s">
        <v>16</v>
      </c>
      <c r="B285" s="9" t="n">
        <v>1</v>
      </c>
      <c r="C285" s="9" t="s">
        <v>389</v>
      </c>
      <c r="D285" s="9" t="s">
        <v>96</v>
      </c>
      <c r="E285" s="9" t="s">
        <v>1544</v>
      </c>
      <c r="F285" s="9" t="n">
        <v>43</v>
      </c>
      <c r="G285" s="9" t="n">
        <v>2026</v>
      </c>
      <c r="H285" s="9" t="s">
        <v>656</v>
      </c>
      <c r="I285" s="9" t="s">
        <v>19</v>
      </c>
      <c r="J285" s="9" t="s">
        <v>66</v>
      </c>
      <c r="K285" s="9" t="s">
        <v>1545</v>
      </c>
      <c r="L285" s="9" t="s">
        <v>1546</v>
      </c>
      <c r="M285" s="9" t="s">
        <v>1547</v>
      </c>
      <c r="N285" s="9" t="s">
        <v>1548</v>
      </c>
      <c r="O285" s="9" t="n">
        <v>250</v>
      </c>
      <c r="P285" s="9" t="n">
        <v>250</v>
      </c>
      <c r="Q285" s="9" t="s">
        <v>119</v>
      </c>
      <c r="R285" s="39"/>
      <c r="S285" s="39"/>
      <c r="T285" s="39"/>
    </row>
    <row r="286" customFormat="false" ht="39.75" hidden="false" customHeight="true" outlineLevel="0" collapsed="false">
      <c r="A286" s="5" t="s">
        <v>16</v>
      </c>
      <c r="B286" s="9" t="n">
        <v>1</v>
      </c>
      <c r="C286" s="9" t="s">
        <v>389</v>
      </c>
      <c r="D286" s="9" t="s">
        <v>96</v>
      </c>
      <c r="E286" s="9" t="s">
        <v>1549</v>
      </c>
      <c r="F286" s="9" t="n">
        <v>44</v>
      </c>
      <c r="G286" s="9" t="n">
        <v>2026</v>
      </c>
      <c r="H286" s="9" t="s">
        <v>656</v>
      </c>
      <c r="I286" s="9" t="s">
        <v>19</v>
      </c>
      <c r="J286" s="9" t="s">
        <v>66</v>
      </c>
      <c r="K286" s="9" t="s">
        <v>1550</v>
      </c>
      <c r="L286" s="9" t="s">
        <v>386</v>
      </c>
      <c r="M286" s="9" t="s">
        <v>1551</v>
      </c>
      <c r="N286" s="9" t="s">
        <v>1552</v>
      </c>
      <c r="O286" s="9" t="n">
        <v>140</v>
      </c>
      <c r="P286" s="9" t="n">
        <v>140</v>
      </c>
      <c r="Q286" s="9" t="s">
        <v>286</v>
      </c>
      <c r="R286" s="39"/>
      <c r="S286" s="39"/>
      <c r="T286" s="39"/>
    </row>
    <row r="287" customFormat="false" ht="39.75" hidden="false" customHeight="true" outlineLevel="0" collapsed="false">
      <c r="A287" s="5" t="s">
        <v>16</v>
      </c>
      <c r="B287" s="9" t="n">
        <v>1</v>
      </c>
      <c r="C287" s="9" t="s">
        <v>389</v>
      </c>
      <c r="D287" s="9" t="s">
        <v>96</v>
      </c>
      <c r="E287" s="9" t="s">
        <v>1553</v>
      </c>
      <c r="F287" s="9" t="n">
        <v>45</v>
      </c>
      <c r="G287" s="9" t="n">
        <v>2026</v>
      </c>
      <c r="H287" s="9" t="s">
        <v>656</v>
      </c>
      <c r="I287" s="9" t="s">
        <v>19</v>
      </c>
      <c r="J287" s="9" t="s">
        <v>66</v>
      </c>
      <c r="K287" s="9" t="s">
        <v>634</v>
      </c>
      <c r="L287" s="9" t="s">
        <v>386</v>
      </c>
      <c r="M287" s="9" t="s">
        <v>1554</v>
      </c>
      <c r="N287" s="9" t="s">
        <v>1552</v>
      </c>
      <c r="O287" s="9" t="n">
        <v>300</v>
      </c>
      <c r="P287" s="9" t="n">
        <v>300</v>
      </c>
      <c r="Q287" s="9" t="s">
        <v>286</v>
      </c>
      <c r="R287" s="39"/>
      <c r="S287" s="39"/>
      <c r="T287" s="39"/>
    </row>
    <row r="288" customFormat="false" ht="39.75" hidden="false" customHeight="true" outlineLevel="0" collapsed="false">
      <c r="A288" s="5" t="s">
        <v>16</v>
      </c>
      <c r="B288" s="9" t="n">
        <v>1</v>
      </c>
      <c r="C288" s="9" t="s">
        <v>389</v>
      </c>
      <c r="D288" s="9" t="s">
        <v>96</v>
      </c>
      <c r="E288" s="9" t="s">
        <v>1555</v>
      </c>
      <c r="F288" s="9" t="n">
        <v>46</v>
      </c>
      <c r="G288" s="9" t="n">
        <v>2026</v>
      </c>
      <c r="H288" s="9" t="s">
        <v>656</v>
      </c>
      <c r="I288" s="9" t="s">
        <v>19</v>
      </c>
      <c r="J288" s="9" t="s">
        <v>66</v>
      </c>
      <c r="K288" s="9" t="s">
        <v>1556</v>
      </c>
      <c r="L288" s="9" t="s">
        <v>492</v>
      </c>
      <c r="M288" s="9" t="s">
        <v>1557</v>
      </c>
      <c r="N288" s="9" t="s">
        <v>1552</v>
      </c>
      <c r="O288" s="9" t="n">
        <v>245</v>
      </c>
      <c r="P288" s="9" t="n">
        <v>245</v>
      </c>
      <c r="Q288" s="9" t="s">
        <v>119</v>
      </c>
      <c r="R288" s="39"/>
      <c r="S288" s="39"/>
      <c r="T288" s="39"/>
    </row>
    <row r="289" customFormat="false" ht="39.75" hidden="false" customHeight="true" outlineLevel="0" collapsed="false">
      <c r="A289" s="5" t="s">
        <v>16</v>
      </c>
      <c r="B289" s="9" t="n">
        <v>1</v>
      </c>
      <c r="C289" s="9" t="s">
        <v>389</v>
      </c>
      <c r="D289" s="9" t="s">
        <v>96</v>
      </c>
      <c r="E289" s="9" t="s">
        <v>1558</v>
      </c>
      <c r="F289" s="9" t="n">
        <v>47</v>
      </c>
      <c r="G289" s="9" t="n">
        <v>2026</v>
      </c>
      <c r="H289" s="9" t="s">
        <v>656</v>
      </c>
      <c r="I289" s="9" t="s">
        <v>19</v>
      </c>
      <c r="J289" s="9" t="s">
        <v>66</v>
      </c>
      <c r="K289" s="9" t="s">
        <v>690</v>
      </c>
      <c r="L289" s="9" t="s">
        <v>537</v>
      </c>
      <c r="M289" s="9" t="s">
        <v>1559</v>
      </c>
      <c r="N289" s="9" t="s">
        <v>1552</v>
      </c>
      <c r="O289" s="9" t="n">
        <v>75</v>
      </c>
      <c r="P289" s="9" t="n">
        <v>75</v>
      </c>
      <c r="Q289" s="9" t="s">
        <v>44</v>
      </c>
      <c r="R289" s="39"/>
      <c r="S289" s="39"/>
      <c r="T289" s="39"/>
    </row>
    <row r="290" customFormat="false" ht="39.75" hidden="false" customHeight="true" outlineLevel="0" collapsed="false">
      <c r="A290" s="5" t="s">
        <v>16</v>
      </c>
      <c r="B290" s="9" t="n">
        <v>1</v>
      </c>
      <c r="C290" s="9" t="s">
        <v>389</v>
      </c>
      <c r="D290" s="9" t="s">
        <v>96</v>
      </c>
      <c r="E290" s="9" t="s">
        <v>1560</v>
      </c>
      <c r="F290" s="9" t="n">
        <v>48</v>
      </c>
      <c r="G290" s="9" t="n">
        <v>2026</v>
      </c>
      <c r="H290" s="9" t="s">
        <v>656</v>
      </c>
      <c r="I290" s="9" t="s">
        <v>19</v>
      </c>
      <c r="J290" s="9" t="s">
        <v>66</v>
      </c>
      <c r="K290" s="9" t="s">
        <v>1529</v>
      </c>
      <c r="L290" s="9" t="s">
        <v>1138</v>
      </c>
      <c r="M290" s="9" t="s">
        <v>1561</v>
      </c>
      <c r="N290" s="9" t="s">
        <v>1552</v>
      </c>
      <c r="O290" s="9" t="n">
        <v>50</v>
      </c>
      <c r="P290" s="9" t="n">
        <v>50</v>
      </c>
      <c r="Q290" s="9" t="s">
        <v>110</v>
      </c>
      <c r="R290" s="39"/>
      <c r="S290" s="39"/>
      <c r="T290" s="39"/>
    </row>
    <row r="291" customFormat="false" ht="39.75" hidden="false" customHeight="true" outlineLevel="0" collapsed="false">
      <c r="A291" s="5" t="s">
        <v>16</v>
      </c>
      <c r="B291" s="9" t="n">
        <v>1</v>
      </c>
      <c r="C291" s="9" t="s">
        <v>389</v>
      </c>
      <c r="D291" s="9" t="s">
        <v>96</v>
      </c>
      <c r="E291" s="9" t="s">
        <v>1562</v>
      </c>
      <c r="F291" s="9" t="n">
        <v>49</v>
      </c>
      <c r="G291" s="9" t="n">
        <v>2026</v>
      </c>
      <c r="H291" s="9" t="s">
        <v>656</v>
      </c>
      <c r="I291" s="9" t="s">
        <v>19</v>
      </c>
      <c r="J291" s="9" t="s">
        <v>66</v>
      </c>
      <c r="K291" s="9" t="s">
        <v>1563</v>
      </c>
      <c r="L291" s="9" t="s">
        <v>119</v>
      </c>
      <c r="M291" s="9" t="s">
        <v>1564</v>
      </c>
      <c r="N291" s="9" t="s">
        <v>1552</v>
      </c>
      <c r="O291" s="9" t="n">
        <v>34</v>
      </c>
      <c r="P291" s="9" t="n">
        <v>34</v>
      </c>
      <c r="Q291" s="9" t="s">
        <v>119</v>
      </c>
      <c r="R291" s="39"/>
      <c r="S291" s="39"/>
      <c r="T291" s="39"/>
    </row>
    <row r="292" customFormat="false" ht="39.75" hidden="false" customHeight="true" outlineLevel="0" collapsed="false">
      <c r="A292" s="5" t="s">
        <v>16</v>
      </c>
      <c r="B292" s="9" t="n">
        <v>1</v>
      </c>
      <c r="C292" s="9" t="s">
        <v>389</v>
      </c>
      <c r="D292" s="9" t="s">
        <v>96</v>
      </c>
      <c r="E292" s="9" t="s">
        <v>1565</v>
      </c>
      <c r="F292" s="9" t="n">
        <v>50</v>
      </c>
      <c r="G292" s="9" t="n">
        <v>2026</v>
      </c>
      <c r="H292" s="9" t="s">
        <v>656</v>
      </c>
      <c r="I292" s="9" t="s">
        <v>19</v>
      </c>
      <c r="J292" s="9" t="s">
        <v>66</v>
      </c>
      <c r="K292" s="9" t="s">
        <v>1566</v>
      </c>
      <c r="L292" s="9" t="s">
        <v>1138</v>
      </c>
      <c r="M292" s="9" t="s">
        <v>1567</v>
      </c>
      <c r="N292" s="9" t="s">
        <v>1552</v>
      </c>
      <c r="O292" s="9" t="n">
        <v>30</v>
      </c>
      <c r="P292" s="9" t="n">
        <v>30</v>
      </c>
      <c r="Q292" s="9" t="s">
        <v>110</v>
      </c>
      <c r="R292" s="39"/>
      <c r="S292" s="39"/>
      <c r="T292" s="39"/>
    </row>
    <row r="293" customFormat="false" ht="39.75" hidden="false" customHeight="true" outlineLevel="0" collapsed="false">
      <c r="A293" s="5" t="s">
        <v>64</v>
      </c>
      <c r="B293" s="9" t="n">
        <v>6</v>
      </c>
      <c r="C293" s="9" t="s">
        <v>480</v>
      </c>
      <c r="D293" s="9" t="s">
        <v>28</v>
      </c>
      <c r="E293" s="9" t="s">
        <v>1568</v>
      </c>
      <c r="F293" s="9" t="n">
        <v>15</v>
      </c>
      <c r="G293" s="9" t="n">
        <v>2026</v>
      </c>
      <c r="H293" s="9" t="s">
        <v>745</v>
      </c>
      <c r="I293" s="9" t="s">
        <v>19</v>
      </c>
      <c r="J293" s="9" t="s">
        <v>535</v>
      </c>
      <c r="K293" s="9" t="s">
        <v>1569</v>
      </c>
      <c r="L293" s="9" t="s">
        <v>25</v>
      </c>
      <c r="M293" s="9" t="s">
        <v>1570</v>
      </c>
      <c r="N293" s="9" t="s">
        <v>1571</v>
      </c>
      <c r="O293" s="9" t="n">
        <v>33.6</v>
      </c>
      <c r="P293" s="9" t="n">
        <v>33.6</v>
      </c>
      <c r="Q293" s="9" t="s">
        <v>25</v>
      </c>
      <c r="R293" s="39"/>
      <c r="S293" s="39"/>
      <c r="T293" s="39"/>
    </row>
    <row r="294" customFormat="false" ht="39.75" hidden="false" customHeight="true" outlineLevel="0" collapsed="false">
      <c r="A294" s="5" t="s">
        <v>138</v>
      </c>
      <c r="B294" s="9" t="n">
        <v>15</v>
      </c>
      <c r="C294" s="9" t="s">
        <v>153</v>
      </c>
      <c r="D294" s="9" t="s">
        <v>90</v>
      </c>
      <c r="E294" s="9" t="s">
        <v>1572</v>
      </c>
      <c r="F294" s="9" t="n">
        <v>6</v>
      </c>
      <c r="G294" s="9" t="n">
        <v>2026</v>
      </c>
      <c r="H294" s="9" t="s">
        <v>1413</v>
      </c>
      <c r="I294" s="9" t="s">
        <v>128</v>
      </c>
      <c r="J294" s="9" t="s">
        <v>79</v>
      </c>
      <c r="K294" s="9" t="s">
        <v>1044</v>
      </c>
      <c r="L294" s="9" t="s">
        <v>25</v>
      </c>
      <c r="M294" s="9" t="s">
        <v>1573</v>
      </c>
      <c r="N294" s="9" t="s">
        <v>1574</v>
      </c>
      <c r="O294" s="9" t="n">
        <v>150000</v>
      </c>
      <c r="P294" s="9" t="n">
        <v>945</v>
      </c>
      <c r="Q294" s="9" t="s">
        <v>25</v>
      </c>
      <c r="R294" s="39"/>
      <c r="S294" s="39"/>
      <c r="T294" s="39"/>
    </row>
    <row r="295" customFormat="false" ht="39.75" hidden="false" customHeight="true" outlineLevel="0" collapsed="false">
      <c r="A295" s="5" t="s">
        <v>147</v>
      </c>
      <c r="B295" s="9" t="n">
        <v>16</v>
      </c>
      <c r="C295" s="9" t="s">
        <v>17</v>
      </c>
      <c r="D295" s="9" t="s">
        <v>17</v>
      </c>
      <c r="E295" s="9" t="s">
        <v>1575</v>
      </c>
      <c r="F295" s="9" t="n">
        <v>20</v>
      </c>
      <c r="G295" s="9" t="n">
        <v>2026</v>
      </c>
      <c r="H295" s="9" t="s">
        <v>1466</v>
      </c>
      <c r="I295" s="9" t="s">
        <v>128</v>
      </c>
      <c r="J295" s="9" t="s">
        <v>66</v>
      </c>
      <c r="K295" s="9" t="s">
        <v>1576</v>
      </c>
      <c r="L295" s="9" t="s">
        <v>649</v>
      </c>
      <c r="M295" s="9" t="s">
        <v>1577</v>
      </c>
      <c r="N295" s="25" t="s">
        <v>1578</v>
      </c>
      <c r="O295" s="9" t="n">
        <v>160000</v>
      </c>
      <c r="P295" s="9" t="n">
        <v>1026</v>
      </c>
      <c r="Q295" s="9" t="s">
        <v>25</v>
      </c>
      <c r="R295" s="39"/>
      <c r="S295" s="39"/>
      <c r="T295" s="39"/>
    </row>
    <row r="296" customFormat="false" ht="39.75" hidden="false" customHeight="true" outlineLevel="0" collapsed="false">
      <c r="A296" s="5" t="s">
        <v>515</v>
      </c>
      <c r="B296" s="9" t="n">
        <v>61</v>
      </c>
      <c r="C296" s="9" t="s">
        <v>17</v>
      </c>
      <c r="D296" s="9" t="s">
        <v>17</v>
      </c>
      <c r="E296" s="9" t="s">
        <v>1579</v>
      </c>
      <c r="F296" s="9" t="n">
        <v>2</v>
      </c>
      <c r="G296" s="9" t="n">
        <v>2026</v>
      </c>
      <c r="H296" s="9" t="s">
        <v>542</v>
      </c>
      <c r="I296" s="9" t="s">
        <v>163</v>
      </c>
      <c r="J296" s="9" t="s">
        <v>79</v>
      </c>
      <c r="K296" s="9" t="s">
        <v>1580</v>
      </c>
      <c r="L296" s="9" t="s">
        <v>44</v>
      </c>
      <c r="M296" s="9" t="s">
        <v>1581</v>
      </c>
      <c r="N296" s="9" t="s">
        <v>1582</v>
      </c>
      <c r="O296" s="9" t="n">
        <v>370000</v>
      </c>
      <c r="P296" s="9" t="n">
        <v>266</v>
      </c>
      <c r="Q296" s="9" t="s">
        <v>44</v>
      </c>
      <c r="R296" s="39"/>
      <c r="S296" s="39"/>
      <c r="T296" s="39"/>
    </row>
    <row r="297" customFormat="false" ht="39.75" hidden="false" customHeight="true" outlineLevel="0" collapsed="false">
      <c r="A297" s="5" t="s">
        <v>515</v>
      </c>
      <c r="B297" s="9" t="n">
        <v>61</v>
      </c>
      <c r="C297" s="9" t="s">
        <v>17</v>
      </c>
      <c r="D297" s="9" t="s">
        <v>17</v>
      </c>
      <c r="E297" s="9" t="s">
        <v>1583</v>
      </c>
      <c r="F297" s="9" t="n">
        <v>3</v>
      </c>
      <c r="G297" s="9" t="n">
        <v>2026</v>
      </c>
      <c r="H297" s="9" t="s">
        <v>542</v>
      </c>
      <c r="I297" s="9" t="s">
        <v>163</v>
      </c>
      <c r="J297" s="9" t="s">
        <v>1406</v>
      </c>
      <c r="K297" s="9" t="s">
        <v>1584</v>
      </c>
      <c r="L297" s="9" t="s">
        <v>622</v>
      </c>
      <c r="M297" s="9" t="s">
        <v>1585</v>
      </c>
      <c r="N297" s="9" t="s">
        <v>1586</v>
      </c>
      <c r="O297" s="9" t="n">
        <v>50000</v>
      </c>
      <c r="P297" s="9" t="n">
        <v>36</v>
      </c>
      <c r="Q297" s="9" t="s">
        <v>38</v>
      </c>
      <c r="R297" s="39"/>
      <c r="S297" s="39"/>
      <c r="T297" s="39"/>
    </row>
    <row r="298" customFormat="false" ht="39.75" hidden="false" customHeight="true" outlineLevel="0" collapsed="false">
      <c r="A298" s="5" t="s">
        <v>515</v>
      </c>
      <c r="B298" s="9" t="n">
        <v>61</v>
      </c>
      <c r="C298" s="9" t="s">
        <v>17</v>
      </c>
      <c r="D298" s="9" t="s">
        <v>17</v>
      </c>
      <c r="E298" s="9" t="s">
        <v>1587</v>
      </c>
      <c r="F298" s="9" t="n">
        <v>4</v>
      </c>
      <c r="G298" s="9" t="n">
        <v>2026</v>
      </c>
      <c r="H298" s="9" t="s">
        <v>542</v>
      </c>
      <c r="I298" s="9" t="s">
        <v>163</v>
      </c>
      <c r="J298" s="9" t="s">
        <v>1406</v>
      </c>
      <c r="K298" s="9" t="s">
        <v>1588</v>
      </c>
      <c r="L298" s="9" t="s">
        <v>286</v>
      </c>
      <c r="M298" s="9" t="s">
        <v>1589</v>
      </c>
      <c r="N298" s="9" t="s">
        <v>1590</v>
      </c>
      <c r="O298" s="9" t="n">
        <v>560000</v>
      </c>
      <c r="P298" s="9" t="n">
        <v>403</v>
      </c>
      <c r="Q298" s="9" t="s">
        <v>286</v>
      </c>
      <c r="R298" s="39"/>
      <c r="S298" s="39"/>
      <c r="T298" s="39"/>
    </row>
    <row r="299" customFormat="false" ht="39.75" hidden="false" customHeight="true" outlineLevel="0" collapsed="false">
      <c r="A299" s="5" t="s">
        <v>515</v>
      </c>
      <c r="B299" s="9" t="n">
        <v>61</v>
      </c>
      <c r="C299" s="9" t="s">
        <v>17</v>
      </c>
      <c r="D299" s="9" t="s">
        <v>17</v>
      </c>
      <c r="E299" s="9" t="s">
        <v>1591</v>
      </c>
      <c r="F299" s="9" t="n">
        <v>5</v>
      </c>
      <c r="G299" s="9" t="n">
        <v>2026</v>
      </c>
      <c r="H299" s="9" t="s">
        <v>542</v>
      </c>
      <c r="I299" s="9" t="s">
        <v>163</v>
      </c>
      <c r="J299" s="9" t="s">
        <v>1406</v>
      </c>
      <c r="K299" s="9" t="s">
        <v>1592</v>
      </c>
      <c r="L299" s="9" t="s">
        <v>35</v>
      </c>
      <c r="M299" s="9" t="s">
        <v>1593</v>
      </c>
      <c r="N299" s="25" t="s">
        <v>1590</v>
      </c>
      <c r="O299" s="9" t="n">
        <v>100000</v>
      </c>
      <c r="P299" s="9" t="n">
        <v>72</v>
      </c>
      <c r="Q299" s="9" t="s">
        <v>110</v>
      </c>
      <c r="R299" s="39"/>
      <c r="S299" s="39"/>
      <c r="T299" s="39"/>
    </row>
    <row r="300" customFormat="false" ht="39.75" hidden="false" customHeight="true" outlineLevel="0" collapsed="false">
      <c r="A300" s="5" t="s">
        <v>534</v>
      </c>
      <c r="B300" s="9" t="n">
        <v>64</v>
      </c>
      <c r="C300" s="9" t="s">
        <v>17</v>
      </c>
      <c r="D300" s="9" t="s">
        <v>17</v>
      </c>
      <c r="E300" s="9" t="s">
        <v>1594</v>
      </c>
      <c r="F300" s="9" t="n">
        <v>1</v>
      </c>
      <c r="G300" s="9" t="n">
        <v>2026</v>
      </c>
      <c r="H300" s="9" t="s">
        <v>1466</v>
      </c>
      <c r="I300" s="9" t="s">
        <v>163</v>
      </c>
      <c r="J300" s="9" t="s">
        <v>535</v>
      </c>
      <c r="K300" s="9" t="s">
        <v>1595</v>
      </c>
      <c r="L300" s="9" t="s">
        <v>119</v>
      </c>
      <c r="M300" s="9" t="s">
        <v>1596</v>
      </c>
      <c r="N300" s="9" t="s">
        <v>1597</v>
      </c>
      <c r="O300" s="9" t="n">
        <v>11250</v>
      </c>
      <c r="P300" s="9" t="n">
        <v>8</v>
      </c>
      <c r="Q300" s="9" t="s">
        <v>119</v>
      </c>
      <c r="R300" s="39"/>
      <c r="S300" s="39"/>
      <c r="T300" s="39"/>
    </row>
    <row r="301" customFormat="false" ht="39.75" hidden="false" customHeight="true" outlineLevel="0" collapsed="false">
      <c r="A301" s="5" t="s">
        <v>191</v>
      </c>
      <c r="B301" s="9" t="n">
        <v>25</v>
      </c>
      <c r="C301" s="9" t="s">
        <v>17</v>
      </c>
      <c r="D301" s="9" t="s">
        <v>17</v>
      </c>
      <c r="E301" s="9" t="s">
        <v>1598</v>
      </c>
      <c r="F301" s="9" t="n">
        <v>11</v>
      </c>
      <c r="G301" s="9" t="n">
        <v>2026</v>
      </c>
      <c r="H301" s="9" t="s">
        <v>542</v>
      </c>
      <c r="I301" s="9" t="s">
        <v>583</v>
      </c>
      <c r="J301" s="9" t="s">
        <v>66</v>
      </c>
      <c r="K301" s="9" t="s">
        <v>1599</v>
      </c>
      <c r="L301" s="9" t="s">
        <v>110</v>
      </c>
      <c r="M301" s="9" t="s">
        <v>1600</v>
      </c>
      <c r="N301" s="9" t="s">
        <v>1601</v>
      </c>
      <c r="O301" s="9" t="n">
        <v>353</v>
      </c>
      <c r="P301" s="9" t="n">
        <v>406</v>
      </c>
      <c r="Q301" s="9" t="s">
        <v>110</v>
      </c>
      <c r="R301" s="39"/>
      <c r="S301" s="39"/>
      <c r="T301" s="39"/>
    </row>
    <row r="302" customFormat="false" ht="39.75" hidden="false" customHeight="true" outlineLevel="0" collapsed="false">
      <c r="A302" s="5" t="s">
        <v>191</v>
      </c>
      <c r="B302" s="9" t="n">
        <v>25</v>
      </c>
      <c r="C302" s="9" t="s">
        <v>17</v>
      </c>
      <c r="D302" s="9" t="s">
        <v>17</v>
      </c>
      <c r="E302" s="9" t="s">
        <v>1602</v>
      </c>
      <c r="F302" s="9" t="n">
        <v>12</v>
      </c>
      <c r="G302" s="9" t="n">
        <v>2026</v>
      </c>
      <c r="H302" s="9" t="s">
        <v>542</v>
      </c>
      <c r="I302" s="9" t="s">
        <v>583</v>
      </c>
      <c r="J302" s="9" t="s">
        <v>66</v>
      </c>
      <c r="K302" s="9" t="s">
        <v>1603</v>
      </c>
      <c r="L302" s="9" t="s">
        <v>25</v>
      </c>
      <c r="M302" s="9" t="s">
        <v>1604</v>
      </c>
      <c r="N302" s="9" t="s">
        <v>1601</v>
      </c>
      <c r="O302" s="9" t="n">
        <v>214</v>
      </c>
      <c r="P302" s="9" t="n">
        <v>246</v>
      </c>
      <c r="Q302" s="9" t="s">
        <v>25</v>
      </c>
      <c r="R302" s="39"/>
      <c r="S302" s="39"/>
      <c r="T302" s="39"/>
    </row>
    <row r="303" customFormat="false" ht="39.75" hidden="false" customHeight="true" outlineLevel="0" collapsed="false">
      <c r="A303" s="5" t="s">
        <v>191</v>
      </c>
      <c r="B303" s="9" t="n">
        <v>25</v>
      </c>
      <c r="C303" s="9" t="s">
        <v>17</v>
      </c>
      <c r="D303" s="9" t="s">
        <v>17</v>
      </c>
      <c r="E303" s="9" t="s">
        <v>1605</v>
      </c>
      <c r="F303" s="9" t="n">
        <v>13</v>
      </c>
      <c r="G303" s="9" t="n">
        <v>2026</v>
      </c>
      <c r="H303" s="9" t="s">
        <v>542</v>
      </c>
      <c r="I303" s="9" t="s">
        <v>583</v>
      </c>
      <c r="J303" s="9" t="s">
        <v>66</v>
      </c>
      <c r="K303" s="9" t="s">
        <v>1606</v>
      </c>
      <c r="L303" s="9" t="s">
        <v>38</v>
      </c>
      <c r="M303" s="9" t="s">
        <v>1607</v>
      </c>
      <c r="N303" s="9" t="s">
        <v>1601</v>
      </c>
      <c r="O303" s="9" t="n">
        <v>74.4</v>
      </c>
      <c r="P303" s="9" t="n">
        <v>86</v>
      </c>
      <c r="Q303" s="9" t="s">
        <v>38</v>
      </c>
      <c r="R303" s="39"/>
      <c r="S303" s="39"/>
      <c r="T303" s="39"/>
    </row>
    <row r="304" customFormat="false" ht="39.75" hidden="false" customHeight="true" outlineLevel="0" collapsed="false">
      <c r="A304" s="5" t="s">
        <v>191</v>
      </c>
      <c r="B304" s="9" t="n">
        <v>25</v>
      </c>
      <c r="C304" s="9" t="s">
        <v>17</v>
      </c>
      <c r="D304" s="9" t="s">
        <v>17</v>
      </c>
      <c r="E304" s="9" t="s">
        <v>1608</v>
      </c>
      <c r="F304" s="9" t="n">
        <v>14</v>
      </c>
      <c r="G304" s="9" t="n">
        <v>2026</v>
      </c>
      <c r="H304" s="9" t="s">
        <v>542</v>
      </c>
      <c r="I304" s="9" t="s">
        <v>583</v>
      </c>
      <c r="J304" s="9" t="s">
        <v>66</v>
      </c>
      <c r="K304" s="9" t="s">
        <v>1609</v>
      </c>
      <c r="L304" s="9" t="s">
        <v>25</v>
      </c>
      <c r="M304" s="9" t="s">
        <v>1610</v>
      </c>
      <c r="N304" s="9" t="s">
        <v>1601</v>
      </c>
      <c r="O304" s="9" t="n">
        <v>17.9</v>
      </c>
      <c r="P304" s="9" t="n">
        <v>21</v>
      </c>
      <c r="Q304" s="9" t="s">
        <v>25</v>
      </c>
      <c r="R304" s="39"/>
      <c r="S304" s="39"/>
      <c r="T304" s="39"/>
    </row>
    <row r="305" customFormat="false" ht="39.75" hidden="false" customHeight="true" outlineLevel="0" collapsed="false">
      <c r="A305" s="5" t="s">
        <v>191</v>
      </c>
      <c r="B305" s="9" t="n">
        <v>25</v>
      </c>
      <c r="C305" s="9" t="s">
        <v>17</v>
      </c>
      <c r="D305" s="9" t="s">
        <v>17</v>
      </c>
      <c r="E305" s="9" t="s">
        <v>1611</v>
      </c>
      <c r="F305" s="9" t="n">
        <v>15</v>
      </c>
      <c r="G305" s="9" t="n">
        <v>2026</v>
      </c>
      <c r="H305" s="9" t="s">
        <v>542</v>
      </c>
      <c r="I305" s="9" t="s">
        <v>583</v>
      </c>
      <c r="J305" s="9" t="s">
        <v>66</v>
      </c>
      <c r="K305" s="9" t="s">
        <v>1612</v>
      </c>
      <c r="L305" s="9" t="s">
        <v>38</v>
      </c>
      <c r="M305" s="9" t="s">
        <v>1613</v>
      </c>
      <c r="N305" s="9" t="s">
        <v>1614</v>
      </c>
      <c r="O305" s="9" t="n">
        <v>76</v>
      </c>
      <c r="P305" s="9" t="n">
        <v>87</v>
      </c>
      <c r="Q305" s="9" t="s">
        <v>38</v>
      </c>
      <c r="R305" s="39"/>
      <c r="S305" s="39"/>
      <c r="T305" s="39"/>
    </row>
    <row r="306" customFormat="false" ht="39.75" hidden="false" customHeight="true" outlineLevel="0" collapsed="false">
      <c r="A306" s="5" t="s">
        <v>138</v>
      </c>
      <c r="B306" s="9" t="n">
        <v>15</v>
      </c>
      <c r="C306" s="9" t="s">
        <v>153</v>
      </c>
      <c r="D306" s="9" t="s">
        <v>90</v>
      </c>
      <c r="E306" s="9" t="s">
        <v>1615</v>
      </c>
      <c r="F306" s="9" t="n">
        <v>7</v>
      </c>
      <c r="G306" s="9" t="n">
        <v>2022</v>
      </c>
      <c r="H306" s="9" t="s">
        <v>1066</v>
      </c>
      <c r="I306" s="9" t="s">
        <v>128</v>
      </c>
      <c r="J306" s="9" t="s">
        <v>535</v>
      </c>
      <c r="K306" s="9" t="s">
        <v>1616</v>
      </c>
      <c r="L306" s="9" t="s">
        <v>227</v>
      </c>
      <c r="M306" s="9" t="s">
        <v>1617</v>
      </c>
      <c r="N306" s="9" t="s">
        <v>1618</v>
      </c>
      <c r="O306" s="9" t="n">
        <v>70000</v>
      </c>
      <c r="P306" s="9" t="n">
        <v>441</v>
      </c>
      <c r="Q306" s="9" t="s">
        <v>119</v>
      </c>
    </row>
    <row r="307" customFormat="false" ht="39.75" hidden="false" customHeight="true" outlineLevel="0" collapsed="false">
      <c r="A307" s="5" t="s">
        <v>138</v>
      </c>
      <c r="B307" s="9" t="n">
        <v>15</v>
      </c>
      <c r="C307" s="9" t="s">
        <v>153</v>
      </c>
      <c r="D307" s="9" t="s">
        <v>90</v>
      </c>
      <c r="E307" s="9" t="s">
        <v>1619</v>
      </c>
      <c r="F307" s="9" t="n">
        <v>8</v>
      </c>
      <c r="G307" s="9" t="n">
        <v>2023</v>
      </c>
      <c r="H307" s="9" t="s">
        <v>18</v>
      </c>
      <c r="I307" s="9" t="s">
        <v>128</v>
      </c>
      <c r="J307" s="9" t="s">
        <v>535</v>
      </c>
      <c r="K307" s="9" t="s">
        <v>1620</v>
      </c>
      <c r="L307" s="9" t="s">
        <v>68</v>
      </c>
      <c r="M307" s="9" t="s">
        <v>1621</v>
      </c>
      <c r="N307" s="9" t="s">
        <v>1622</v>
      </c>
      <c r="O307" s="9" t="n">
        <v>260000</v>
      </c>
      <c r="P307" s="9" t="n">
        <v>1638</v>
      </c>
      <c r="Q307" s="9" t="s">
        <v>25</v>
      </c>
    </row>
    <row r="308" customFormat="false" ht="39.75" hidden="false" customHeight="true" outlineLevel="0" collapsed="false">
      <c r="A308" s="5" t="s">
        <v>138</v>
      </c>
      <c r="B308" s="9" t="n">
        <v>15</v>
      </c>
      <c r="C308" s="9" t="s">
        <v>153</v>
      </c>
      <c r="D308" s="9" t="s">
        <v>90</v>
      </c>
      <c r="E308" s="9" t="s">
        <v>1623</v>
      </c>
      <c r="F308" s="9" t="n">
        <v>9</v>
      </c>
      <c r="G308" s="9" t="n">
        <v>2026</v>
      </c>
      <c r="H308" s="9" t="s">
        <v>1413</v>
      </c>
      <c r="I308" s="9" t="s">
        <v>128</v>
      </c>
      <c r="J308" s="9" t="s">
        <v>79</v>
      </c>
      <c r="K308" s="9" t="s">
        <v>1624</v>
      </c>
      <c r="L308" s="9" t="s">
        <v>25</v>
      </c>
      <c r="M308" s="9" t="s">
        <v>1625</v>
      </c>
      <c r="N308" s="9" t="s">
        <v>1626</v>
      </c>
      <c r="O308" s="9" t="n">
        <v>100000</v>
      </c>
      <c r="P308" s="9" t="n">
        <v>630</v>
      </c>
      <c r="Q308" s="9" t="s">
        <v>25</v>
      </c>
    </row>
    <row r="309" customFormat="false" ht="39.75" hidden="false" customHeight="true" outlineLevel="0" collapsed="false">
      <c r="A309" s="5" t="s">
        <v>16</v>
      </c>
      <c r="B309" s="5" t="n">
        <v>1</v>
      </c>
      <c r="C309" s="5" t="s">
        <v>446</v>
      </c>
      <c r="D309" s="5" t="s">
        <v>307</v>
      </c>
      <c r="E309" s="5" t="s">
        <v>1627</v>
      </c>
      <c r="F309" s="5" t="n">
        <v>43</v>
      </c>
      <c r="G309" s="5" t="n">
        <v>2024</v>
      </c>
      <c r="H309" s="5" t="s">
        <v>675</v>
      </c>
      <c r="I309" s="5" t="s">
        <v>19</v>
      </c>
      <c r="J309" s="5" t="s">
        <v>1406</v>
      </c>
      <c r="K309" s="5" t="s">
        <v>1628</v>
      </c>
      <c r="L309" s="5" t="s">
        <v>286</v>
      </c>
      <c r="M309" s="5" t="s">
        <v>1629</v>
      </c>
      <c r="N309" s="5" t="s">
        <v>646</v>
      </c>
      <c r="O309" s="9" t="n">
        <v>500</v>
      </c>
      <c r="P309" s="9" t="n">
        <v>500</v>
      </c>
      <c r="Q309" s="9" t="s">
        <v>286</v>
      </c>
    </row>
  </sheetData>
  <hyperlinks>
    <hyperlink ref="N7" r:id="rId1" display="https://www.trendforce.com/news/2025/09/19/news-japan-pledged-jpy-536-billion-to-micron-escalating-global-semiconductor-subsidy-race/"/>
    <hyperlink ref="N11" r:id="rId2" display="https://www.commerce.gov/news/press-releases/2025/01/department-commerce-finalizes-long-term-partnership-natcast-operate?"/>
    <hyperlink ref="N14" r:id="rId3" display="https://www.manufacturingusa.com/news/biden-harris-administration-awards-semiconductor-research-corporation-manufacturing-consortium?"/>
    <hyperlink ref="N133" r:id="rId4" display="https://www.trendforce.com/news/2025/11/05/... 11"/>
    <hyperlink ref="N134" r:id="rId5" display="https://www.taiwannews.com.tw/news/6251837"/>
    <hyperlink ref="N249" r:id="rId6" display="https://www.nist.gov/news-events/news/2026/01/department-commerces-chips-program-announces-letter-intent-usa-rare-earth?"/>
    <hyperlink ref="N250" r:id="rId7" display="https://eetimes.itmedia.co.jp/ee/articles/2312/21/news174.html; https://www.nikkei.com/article/DGXZQOUA212B80R21C23A2000000/"/>
    <hyperlink ref="N251" r:id="rId8" display="https://www.nikkei.com/article/DGXZQOUA218OG0R21C25A1000000/"/>
    <hyperlink ref="N254" r:id="rId9" display="https://www.meti.go.jp/english/policy/0704_001.pdf; https://www.trendforce.com/news/2026/04/06/news-sumco-delays-construction-of-two-silicon-wafer-fabs-amid-market-shift/"/>
    <hyperlink ref="N276" r:id="rId10" display="https://www.commerce.gov/news/press-releases/2025/01/department-commerce-announces-preliminary-terms-analog-devices-coherent"/>
    <hyperlink ref="N277" r:id="rId11" display="https://www.commerce.gov/news/press-releases/2025/01/department-commerce-announces-preliminary-terms-analog-devices-coherent"/>
    <hyperlink ref="N278" r:id="rId12" display="https://www.commerce.gov/news/press-releases/2025/01/department-commerce-announces-preliminary-terms-analog-devices-coherent"/>
    <hyperlink ref="N299" r:id="rId13" display="https://www.fsc.go.kr/no010101/87609"/>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2025-09-23T21:06:59Z</dcterms:created>
  <dc:creator>Thummel, Joseph</dc:creator>
  <dc:description/>
  <dc:language>en-US</dc:language>
  <cp:lastModifiedBy>Joe Thummel</cp:lastModifiedBy>
  <dcterms:modified xsi:type="dcterms:W3CDTF">2026-10-21T19:14:22Z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